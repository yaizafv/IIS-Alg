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iza\OneDrive - Universidad de Oviedo\Escritorio\Alg\IIS-Alg\p12\"/>
    </mc:Choice>
  </mc:AlternateContent>
  <xr:revisionPtr revIDLastSave="0" documentId="13_ncr:1_{A840F699-3A86-4958-A458-08A0F01E119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/>
  <c r="J20" i="1"/>
  <c r="J16" i="1"/>
  <c r="I21" i="1"/>
  <c r="J21" i="1" s="1"/>
  <c r="I20" i="1"/>
  <c r="I19" i="1"/>
  <c r="I18" i="1"/>
  <c r="J18" i="1" s="1"/>
  <c r="I17" i="1"/>
  <c r="J17" i="1" s="1"/>
  <c r="I16" i="1"/>
  <c r="N8" i="1"/>
  <c r="O8" i="1" s="1"/>
  <c r="N7" i="1"/>
  <c r="O7" i="1" s="1"/>
  <c r="N6" i="1"/>
  <c r="O6" i="1" s="1"/>
  <c r="N5" i="1"/>
  <c r="O5" i="1" s="1"/>
  <c r="N4" i="1"/>
  <c r="N3" i="1"/>
  <c r="M8" i="1"/>
  <c r="M7" i="1"/>
  <c r="M6" i="1"/>
  <c r="M5" i="1"/>
  <c r="M4" i="1"/>
  <c r="O4" i="1" s="1"/>
  <c r="M3" i="1"/>
  <c r="O3" i="1" s="1"/>
  <c r="J5" i="1"/>
  <c r="J7" i="1"/>
  <c r="J3" i="1"/>
  <c r="H10" i="1"/>
  <c r="H9" i="1"/>
  <c r="I8" i="1"/>
  <c r="J8" i="1" s="1"/>
  <c r="H8" i="1"/>
  <c r="I7" i="1"/>
  <c r="H7" i="1"/>
  <c r="I6" i="1"/>
  <c r="H6" i="1"/>
  <c r="J6" i="1" s="1"/>
  <c r="I5" i="1"/>
  <c r="H5" i="1"/>
  <c r="I4" i="1"/>
  <c r="H4" i="1"/>
  <c r="J4" i="1" s="1"/>
  <c r="I3" i="1"/>
  <c r="H3" i="1"/>
  <c r="E8" i="1"/>
  <c r="B26" i="1"/>
  <c r="B25" i="1"/>
  <c r="E7" i="1"/>
  <c r="B24" i="1"/>
  <c r="B23" i="1"/>
  <c r="B22" i="1"/>
  <c r="B21" i="1"/>
  <c r="D3" i="1"/>
  <c r="E6" i="1"/>
  <c r="E5" i="1"/>
  <c r="E4" i="1"/>
  <c r="E3" i="1"/>
  <c r="D8" i="1"/>
  <c r="D7" i="1"/>
  <c r="D6" i="1"/>
  <c r="D5" i="1"/>
  <c r="D4" i="1"/>
  <c r="C8" i="1"/>
  <c r="C7" i="1"/>
  <c r="C6" i="1"/>
  <c r="C5" i="1"/>
  <c r="C4" i="1"/>
  <c r="C3" i="1"/>
  <c r="B3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<sst xmlns="http://schemas.openxmlformats.org/spreadsheetml/2006/main" count="67" uniqueCount="22">
  <si>
    <t>n</t>
  </si>
  <si>
    <t>TBucle1</t>
  </si>
  <si>
    <t>TBucle2</t>
  </si>
  <si>
    <t>TBucle3</t>
  </si>
  <si>
    <t>TBucle4</t>
  </si>
  <si>
    <t>FdT</t>
  </si>
  <si>
    <t>Repeticiones</t>
  </si>
  <si>
    <t>bucle1</t>
  </si>
  <si>
    <t>bucle2</t>
  </si>
  <si>
    <t>TBucle5</t>
  </si>
  <si>
    <t>TBucle6</t>
  </si>
  <si>
    <t>TBucle7</t>
  </si>
  <si>
    <t>bucle3, 4, 5</t>
  </si>
  <si>
    <t>TBucle1(t1)</t>
  </si>
  <si>
    <t>TBucle2(t2)</t>
  </si>
  <si>
    <t>t1/t2</t>
  </si>
  <si>
    <t>t3/t2</t>
  </si>
  <si>
    <t>TBucle3(t3)</t>
  </si>
  <si>
    <t>TBucle4-Java</t>
  </si>
  <si>
    <t>TBucle4-Python</t>
  </si>
  <si>
    <t>tPython/tJava</t>
  </si>
  <si>
    <t>al ser &gt;1 es mejor 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</si>
</sst>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7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"/>
  <sheetViews>
    <sheetView tabSelected="1" workbookViewId="0">
      <selection activeCell="C19" sqref="C19"/>
    </sheetView>
  </sheetViews>
  <sheetFormatPr baseColWidth="10" defaultColWidth="9.140625" defaultRowHeight="15" x14ac:dyDescent="0.25"/>
  <cols>
    <col min="1" max="1" width="13" customWidth="1"/>
    <col min="2" max="2" width="13.5703125" customWidth="1"/>
    <col min="3" max="3" width="14.85546875" customWidth="1"/>
    <col min="4" max="4" width="14.7109375" customWidth="1"/>
    <col min="5" max="5" width="15.42578125" customWidth="1"/>
    <col min="7" max="7" width="9.85546875" customWidth="1"/>
    <col min="8" max="8" width="16.140625" customWidth="1"/>
    <col min="9" max="9" width="15.7109375" customWidth="1"/>
    <col min="10" max="10" width="13.7109375" customWidth="1"/>
    <col min="12" max="12" width="10.42578125" customWidth="1"/>
    <col min="13" max="13" width="15.42578125" customWidth="1"/>
    <col min="14" max="14" width="15.85546875" customWidth="1"/>
    <col min="15" max="15" width="13.5703125" customWidth="1"/>
  </cols>
  <sheetData>
    <row r="1" spans="1:17" x14ac:dyDescent="0.25">
      <c r="A1" s="1" t="s">
        <v>6</v>
      </c>
      <c r="B1" s="1">
        <v>100000</v>
      </c>
      <c r="C1" s="1">
        <v>1000</v>
      </c>
      <c r="D1" s="1">
        <v>100</v>
      </c>
      <c r="E1" s="1">
        <v>100</v>
      </c>
    </row>
    <row r="2" spans="1:1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0</v>
      </c>
      <c r="H2" s="1" t="s">
        <v>13</v>
      </c>
      <c r="I2" s="1" t="s">
        <v>14</v>
      </c>
      <c r="J2" s="1" t="s">
        <v>15</v>
      </c>
      <c r="L2" s="1" t="s">
        <v>0</v>
      </c>
      <c r="M2" s="1" t="s">
        <v>17</v>
      </c>
      <c r="N2" s="1" t="s">
        <v>14</v>
      </c>
      <c r="O2" s="1" t="s">
        <v>16</v>
      </c>
    </row>
    <row r="3" spans="1:17" x14ac:dyDescent="0.25">
      <c r="A3" s="1">
        <v>100</v>
      </c>
      <c r="B3" s="1">
        <f>442/$C$15</f>
        <v>4.4200000000000003E-3</v>
      </c>
      <c r="C3" s="1">
        <f>213/$C$16</f>
        <v>0.21299999999999999</v>
      </c>
      <c r="D3" s="1">
        <f>90/$C$17</f>
        <v>0.9</v>
      </c>
      <c r="E3" s="1">
        <f>70/$C$17</f>
        <v>0.7</v>
      </c>
      <c r="G3" s="1">
        <v>100</v>
      </c>
      <c r="H3" s="1">
        <f>442/$C$15</f>
        <v>4.4200000000000003E-3</v>
      </c>
      <c r="I3" s="1">
        <f>213/$C$16</f>
        <v>0.21299999999999999</v>
      </c>
      <c r="J3" s="2">
        <f>H3/I3</f>
        <v>2.0751173708920191E-2</v>
      </c>
      <c r="L3" s="1">
        <v>100</v>
      </c>
      <c r="M3" s="1">
        <f>90/$C$17</f>
        <v>0.9</v>
      </c>
      <c r="N3" s="1">
        <f>213/$C$16</f>
        <v>0.21299999999999999</v>
      </c>
      <c r="O3" s="2">
        <f>M3/N3</f>
        <v>4.2253521126760569</v>
      </c>
    </row>
    <row r="4" spans="1:17" x14ac:dyDescent="0.25">
      <c r="A4" s="1">
        <v>200</v>
      </c>
      <c r="B4" s="1">
        <f>1023/$C$15</f>
        <v>1.023E-2</v>
      </c>
      <c r="C4" s="1">
        <f>611/$C$16</f>
        <v>0.61099999999999999</v>
      </c>
      <c r="D4" s="1">
        <f>400/$C$17</f>
        <v>4</v>
      </c>
      <c r="E4" s="1">
        <f>529/$C$17</f>
        <v>5.29</v>
      </c>
      <c r="G4" s="1">
        <v>200</v>
      </c>
      <c r="H4" s="1">
        <f>1023/$C$15</f>
        <v>1.023E-2</v>
      </c>
      <c r="I4" s="1">
        <f>611/$C$16</f>
        <v>0.61099999999999999</v>
      </c>
      <c r="J4" s="2">
        <f t="shared" ref="J4:J12" si="0">H4/I4</f>
        <v>1.6743044189852702E-2</v>
      </c>
      <c r="L4" s="1">
        <v>200</v>
      </c>
      <c r="M4" s="1">
        <f>400/$C$17</f>
        <v>4</v>
      </c>
      <c r="N4" s="1">
        <f>611/$C$16</f>
        <v>0.61099999999999999</v>
      </c>
      <c r="O4" s="2">
        <f t="shared" ref="O4:O12" si="1">M4/N4</f>
        <v>6.5466448445171848</v>
      </c>
    </row>
    <row r="5" spans="1:17" x14ac:dyDescent="0.25">
      <c r="A5" s="1">
        <v>400</v>
      </c>
      <c r="B5" s="1">
        <f>2062/$C$15</f>
        <v>2.0619999999999999E-2</v>
      </c>
      <c r="C5" s="1">
        <f>2967/$C$16</f>
        <v>2.9670000000000001</v>
      </c>
      <c r="D5" s="1">
        <f>1690/$C$17</f>
        <v>16.899999999999999</v>
      </c>
      <c r="E5" s="1">
        <f>3982/$C$17</f>
        <v>39.82</v>
      </c>
      <c r="G5" s="1">
        <v>400</v>
      </c>
      <c r="H5" s="1">
        <f>2062/$C$15</f>
        <v>2.0619999999999999E-2</v>
      </c>
      <c r="I5" s="1">
        <f>2967/$C$16</f>
        <v>2.9670000000000001</v>
      </c>
      <c r="J5" s="2">
        <f t="shared" si="0"/>
        <v>6.9497809234917423E-3</v>
      </c>
      <c r="L5" s="1">
        <v>400</v>
      </c>
      <c r="M5" s="1">
        <f>1690/$C$17</f>
        <v>16.899999999999999</v>
      </c>
      <c r="N5" s="1">
        <f>2967/$C$16</f>
        <v>2.9670000000000001</v>
      </c>
      <c r="O5" s="2">
        <f t="shared" si="1"/>
        <v>5.6959892146949773</v>
      </c>
      <c r="Q5" t="s">
        <v>21</v>
      </c>
    </row>
    <row r="6" spans="1:17" x14ac:dyDescent="0.25">
      <c r="A6" s="1">
        <v>800</v>
      </c>
      <c r="B6" s="1">
        <f>4763/$C$15</f>
        <v>4.7629999999999999E-2</v>
      </c>
      <c r="C6" s="1">
        <f>13411/$C$16</f>
        <v>13.411</v>
      </c>
      <c r="D6" s="1">
        <f>7163/$C$17</f>
        <v>71.63</v>
      </c>
      <c r="E6" s="1">
        <f>30660/$C$17</f>
        <v>306.60000000000002</v>
      </c>
      <c r="G6" s="1">
        <v>800</v>
      </c>
      <c r="H6" s="1">
        <f>4763/$C$15</f>
        <v>4.7629999999999999E-2</v>
      </c>
      <c r="I6" s="1">
        <f>13411/$C$16</f>
        <v>13.411</v>
      </c>
      <c r="J6" s="2">
        <f t="shared" si="0"/>
        <v>3.551562150473492E-3</v>
      </c>
      <c r="L6" s="1">
        <v>800</v>
      </c>
      <c r="M6" s="1">
        <f>7163/$C$17</f>
        <v>71.63</v>
      </c>
      <c r="N6" s="1">
        <f>13411/$C$16</f>
        <v>13.411</v>
      </c>
      <c r="O6" s="2">
        <f t="shared" si="1"/>
        <v>5.3411378718962048</v>
      </c>
    </row>
    <row r="7" spans="1:17" x14ac:dyDescent="0.25">
      <c r="A7" s="1">
        <v>1600</v>
      </c>
      <c r="B7" s="1">
        <f>10203/$C$15</f>
        <v>0.10203</v>
      </c>
      <c r="C7" s="1">
        <f>52905/$C$16</f>
        <v>52.905000000000001</v>
      </c>
      <c r="D7" s="1">
        <f>30840/$C$17</f>
        <v>308.39999999999998</v>
      </c>
      <c r="E7" s="1">
        <f>253596/$C$17</f>
        <v>2535.96</v>
      </c>
      <c r="G7" s="1">
        <v>1600</v>
      </c>
      <c r="H7" s="1">
        <f>10203/$C$15</f>
        <v>0.10203</v>
      </c>
      <c r="I7" s="1">
        <f>52905/$C$16</f>
        <v>52.905000000000001</v>
      </c>
      <c r="J7" s="2">
        <f t="shared" si="0"/>
        <v>1.9285511766373687E-3</v>
      </c>
      <c r="L7" s="1">
        <v>1600</v>
      </c>
      <c r="M7" s="1">
        <f>30840/$C$17</f>
        <v>308.39999999999998</v>
      </c>
      <c r="N7" s="1">
        <f>52905/$C$16</f>
        <v>52.905000000000001</v>
      </c>
      <c r="O7" s="2">
        <f t="shared" si="1"/>
        <v>5.8293166997448251</v>
      </c>
    </row>
    <row r="8" spans="1:17" x14ac:dyDescent="0.25">
      <c r="A8" s="1">
        <v>3200</v>
      </c>
      <c r="B8" s="1">
        <f>21315/$C$15</f>
        <v>0.21315000000000001</v>
      </c>
      <c r="C8" s="1">
        <f>242995/$C$16</f>
        <v>242.995</v>
      </c>
      <c r="D8" s="1">
        <f>124287/$C$17</f>
        <v>1242.8699999999999</v>
      </c>
      <c r="E8" s="1">
        <f>2158649/$C$17</f>
        <v>21586.49</v>
      </c>
      <c r="G8" s="1">
        <v>3200</v>
      </c>
      <c r="H8" s="1">
        <f>21315/$C$15</f>
        <v>0.21315000000000001</v>
      </c>
      <c r="I8" s="1">
        <f>242995/$C$16</f>
        <v>242.995</v>
      </c>
      <c r="J8" s="2">
        <f t="shared" si="0"/>
        <v>8.7717854276836969E-4</v>
      </c>
      <c r="L8" s="1">
        <v>3200</v>
      </c>
      <c r="M8" s="1">
        <f>124287/$C$17</f>
        <v>1242.8699999999999</v>
      </c>
      <c r="N8" s="1">
        <f>242995/$C$16</f>
        <v>242.995</v>
      </c>
      <c r="O8" s="2">
        <f t="shared" si="1"/>
        <v>5.1147966007531016</v>
      </c>
    </row>
    <row r="9" spans="1:17" x14ac:dyDescent="0.25">
      <c r="A9" s="1">
        <v>6400</v>
      </c>
      <c r="B9" s="1">
        <f>44924/$C$15</f>
        <v>0.44923999999999997</v>
      </c>
      <c r="C9" s="1" t="s">
        <v>5</v>
      </c>
      <c r="D9" s="1" t="s">
        <v>5</v>
      </c>
      <c r="E9" s="1" t="s">
        <v>5</v>
      </c>
      <c r="G9" s="1">
        <v>6400</v>
      </c>
      <c r="H9" s="1">
        <f>44924/$C$15</f>
        <v>0.44923999999999997</v>
      </c>
      <c r="I9" s="1" t="s">
        <v>5</v>
      </c>
      <c r="J9" s="1" t="s">
        <v>5</v>
      </c>
      <c r="L9" s="1">
        <v>6400</v>
      </c>
      <c r="M9" s="1" t="s">
        <v>5</v>
      </c>
      <c r="N9" s="1" t="s">
        <v>5</v>
      </c>
      <c r="O9" s="1" t="s">
        <v>5</v>
      </c>
    </row>
    <row r="10" spans="1:17" x14ac:dyDescent="0.25">
      <c r="A10" s="1">
        <v>12800</v>
      </c>
      <c r="B10" s="1">
        <f>102227/$C$15</f>
        <v>1.02227</v>
      </c>
      <c r="C10" s="1" t="s">
        <v>5</v>
      </c>
      <c r="D10" s="1" t="s">
        <v>5</v>
      </c>
      <c r="E10" s="1" t="s">
        <v>5</v>
      </c>
      <c r="G10" s="1">
        <v>12800</v>
      </c>
      <c r="H10" s="1">
        <f>102227/$C$15</f>
        <v>1.02227</v>
      </c>
      <c r="I10" s="1" t="s">
        <v>5</v>
      </c>
      <c r="J10" s="1" t="s">
        <v>5</v>
      </c>
      <c r="L10" s="1">
        <v>12800</v>
      </c>
      <c r="M10" s="1" t="s">
        <v>5</v>
      </c>
      <c r="N10" s="1" t="s">
        <v>5</v>
      </c>
      <c r="O10" s="1" t="s">
        <v>5</v>
      </c>
    </row>
    <row r="11" spans="1:17" x14ac:dyDescent="0.25">
      <c r="A11" s="1">
        <v>25600</v>
      </c>
      <c r="B11" s="1" t="s">
        <v>5</v>
      </c>
      <c r="C11" s="1" t="s">
        <v>5</v>
      </c>
      <c r="D11" s="1" t="s">
        <v>5</v>
      </c>
      <c r="E11" s="1" t="s">
        <v>5</v>
      </c>
      <c r="G11" s="1">
        <v>25600</v>
      </c>
      <c r="H11" s="1" t="s">
        <v>5</v>
      </c>
      <c r="I11" s="1" t="s">
        <v>5</v>
      </c>
      <c r="J11" s="1" t="s">
        <v>5</v>
      </c>
      <c r="L11" s="1">
        <v>25600</v>
      </c>
      <c r="M11" s="1" t="s">
        <v>5</v>
      </c>
      <c r="N11" s="1" t="s">
        <v>5</v>
      </c>
      <c r="O11" s="1" t="s">
        <v>5</v>
      </c>
    </row>
    <row r="12" spans="1:17" x14ac:dyDescent="0.25">
      <c r="A12" s="1">
        <v>51200</v>
      </c>
      <c r="B12" s="1" t="s">
        <v>5</v>
      </c>
      <c r="C12" s="1" t="s">
        <v>5</v>
      </c>
      <c r="D12" s="1" t="s">
        <v>5</v>
      </c>
      <c r="E12" s="1" t="s">
        <v>5</v>
      </c>
      <c r="G12" s="1">
        <v>51200</v>
      </c>
      <c r="H12" s="1" t="s">
        <v>5</v>
      </c>
      <c r="I12" s="1" t="s">
        <v>5</v>
      </c>
      <c r="J12" s="1" t="s">
        <v>5</v>
      </c>
      <c r="L12" s="1">
        <v>51200</v>
      </c>
      <c r="M12" s="1" t="s">
        <v>5</v>
      </c>
      <c r="N12" s="1" t="s">
        <v>5</v>
      </c>
      <c r="O12" s="1" t="s">
        <v>5</v>
      </c>
    </row>
    <row r="13" spans="1:17" x14ac:dyDescent="0.25">
      <c r="A13" s="1"/>
      <c r="B13" s="1"/>
      <c r="C13" s="1"/>
      <c r="D13" s="1"/>
      <c r="E13" s="1"/>
    </row>
    <row r="14" spans="1:17" x14ac:dyDescent="0.25">
      <c r="A14" s="1"/>
      <c r="B14" s="1"/>
      <c r="C14" s="1"/>
      <c r="D14" s="1"/>
      <c r="E14" s="1"/>
    </row>
    <row r="15" spans="1:17" x14ac:dyDescent="0.25">
      <c r="A15" s="1"/>
      <c r="B15" s="1" t="s">
        <v>6</v>
      </c>
      <c r="C15" s="1">
        <v>100000</v>
      </c>
      <c r="D15" s="1" t="s">
        <v>7</v>
      </c>
      <c r="E15" s="1"/>
      <c r="G15" s="1" t="s">
        <v>0</v>
      </c>
      <c r="H15" s="1" t="s">
        <v>19</v>
      </c>
      <c r="I15" s="1" t="s">
        <v>18</v>
      </c>
      <c r="J15" s="1" t="s">
        <v>20</v>
      </c>
    </row>
    <row r="16" spans="1:17" x14ac:dyDescent="0.25">
      <c r="A16" s="1"/>
      <c r="B16" s="1"/>
      <c r="C16" s="1">
        <v>1000</v>
      </c>
      <c r="D16" s="1" t="s">
        <v>8</v>
      </c>
      <c r="E16" s="1"/>
      <c r="G16" s="1">
        <v>100</v>
      </c>
      <c r="H16" s="1">
        <v>6</v>
      </c>
      <c r="I16" s="1">
        <f>70/$C$17</f>
        <v>0.7</v>
      </c>
      <c r="J16" s="2">
        <f>H16/I16</f>
        <v>8.5714285714285712</v>
      </c>
    </row>
    <row r="17" spans="1:10" x14ac:dyDescent="0.25">
      <c r="A17" s="1"/>
      <c r="B17" s="1"/>
      <c r="C17" s="1">
        <v>100</v>
      </c>
      <c r="D17" s="1" t="s">
        <v>12</v>
      </c>
      <c r="E17" s="1"/>
      <c r="G17" s="1">
        <v>200</v>
      </c>
      <c r="H17" s="1">
        <v>46</v>
      </c>
      <c r="I17" s="1">
        <f>529/$C$17</f>
        <v>5.29</v>
      </c>
      <c r="J17" s="2">
        <f t="shared" ref="J17:J21" si="2">H17/I17</f>
        <v>8.695652173913043</v>
      </c>
    </row>
    <row r="18" spans="1:10" x14ac:dyDescent="0.25">
      <c r="A18" s="1"/>
      <c r="B18" s="1"/>
      <c r="C18" s="1"/>
      <c r="D18" s="1"/>
      <c r="E18" s="1"/>
      <c r="G18" s="1">
        <v>400</v>
      </c>
      <c r="H18" s="1">
        <v>319</v>
      </c>
      <c r="I18" s="1">
        <f>3982/$C$17</f>
        <v>39.82</v>
      </c>
      <c r="J18" s="2">
        <f t="shared" si="2"/>
        <v>8.0110497237569067</v>
      </c>
    </row>
    <row r="19" spans="1:10" x14ac:dyDescent="0.25">
      <c r="A19" s="1" t="s">
        <v>6</v>
      </c>
      <c r="B19" s="1">
        <v>100</v>
      </c>
      <c r="C19" s="1"/>
      <c r="D19" s="1"/>
      <c r="E19" s="1"/>
      <c r="G19" s="1">
        <v>800</v>
      </c>
      <c r="H19" s="1">
        <v>2853</v>
      </c>
      <c r="I19" s="1">
        <f>30660/$C$17</f>
        <v>306.60000000000002</v>
      </c>
      <c r="J19" s="2">
        <f t="shared" si="2"/>
        <v>9.3052837573385503</v>
      </c>
    </row>
    <row r="20" spans="1:10" x14ac:dyDescent="0.25">
      <c r="A20" s="1" t="s">
        <v>0</v>
      </c>
      <c r="B20" s="1" t="s">
        <v>9</v>
      </c>
      <c r="C20" s="1" t="s">
        <v>10</v>
      </c>
      <c r="D20" s="1" t="s">
        <v>11</v>
      </c>
      <c r="E20" s="1"/>
      <c r="G20" s="1">
        <v>1600</v>
      </c>
      <c r="H20" s="1">
        <v>20535</v>
      </c>
      <c r="I20" s="1">
        <f>253596/$C$17</f>
        <v>2535.96</v>
      </c>
      <c r="J20" s="2">
        <f t="shared" si="2"/>
        <v>8.0975251975583209</v>
      </c>
    </row>
    <row r="21" spans="1:10" x14ac:dyDescent="0.25">
      <c r="A21" s="1">
        <v>100</v>
      </c>
      <c r="B21" s="1">
        <f>304/$C$17</f>
        <v>3.04</v>
      </c>
      <c r="C21" s="1"/>
      <c r="D21" s="1"/>
      <c r="E21" s="1"/>
      <c r="G21" s="1">
        <v>3200</v>
      </c>
      <c r="H21" s="1">
        <v>176432</v>
      </c>
      <c r="I21" s="1">
        <f>2158649/$C$17</f>
        <v>21586.49</v>
      </c>
      <c r="J21" s="2">
        <f t="shared" si="2"/>
        <v>8.1732602197022306</v>
      </c>
    </row>
    <row r="22" spans="1:10" x14ac:dyDescent="0.25">
      <c r="A22" s="1">
        <v>200</v>
      </c>
      <c r="B22" s="1">
        <f>1596/$C$17</f>
        <v>15.96</v>
      </c>
      <c r="C22" s="1"/>
      <c r="D22" s="1"/>
      <c r="E22" s="1"/>
      <c r="G22" s="1">
        <v>6400</v>
      </c>
      <c r="H22" s="1" t="s">
        <v>5</v>
      </c>
      <c r="I22" s="1" t="s">
        <v>5</v>
      </c>
      <c r="J22" s="1" t="s">
        <v>5</v>
      </c>
    </row>
    <row r="23" spans="1:10" x14ac:dyDescent="0.25">
      <c r="A23" s="1">
        <v>400</v>
      </c>
      <c r="B23" s="1">
        <f>7675/$C$17</f>
        <v>76.75</v>
      </c>
      <c r="C23" s="1"/>
      <c r="D23" s="1"/>
      <c r="E23" s="1"/>
      <c r="I23" s="1"/>
    </row>
    <row r="24" spans="1:10" x14ac:dyDescent="0.25">
      <c r="A24" s="1">
        <v>800</v>
      </c>
      <c r="B24" s="1">
        <f>38472/$C$17</f>
        <v>384.72</v>
      </c>
      <c r="C24" s="1"/>
      <c r="D24" s="1"/>
      <c r="E24" s="1"/>
      <c r="I24" s="1"/>
    </row>
    <row r="25" spans="1:10" x14ac:dyDescent="0.25">
      <c r="A25" s="1">
        <v>1600</v>
      </c>
      <c r="B25" s="1">
        <f>168906/$C$17</f>
        <v>1689.06</v>
      </c>
      <c r="C25" s="1"/>
      <c r="D25" s="1"/>
      <c r="E25" s="1"/>
      <c r="I25" s="1"/>
    </row>
    <row r="26" spans="1:10" x14ac:dyDescent="0.25">
      <c r="A26" s="1">
        <v>3200</v>
      </c>
      <c r="B26" s="1">
        <f>857789/$C$17</f>
        <v>8577.89</v>
      </c>
      <c r="C26" s="1"/>
      <c r="D26" s="1"/>
      <c r="E26" s="1"/>
    </row>
    <row r="27" spans="1:10" x14ac:dyDescent="0.25">
      <c r="A27" s="1">
        <v>6400</v>
      </c>
      <c r="B27" s="1"/>
      <c r="C27" s="1"/>
      <c r="D27" s="1"/>
      <c r="E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Yaiza Fernández Vega</cp:lastModifiedBy>
  <cp:revision/>
  <dcterms:created xsi:type="dcterms:W3CDTF">2026-02-10T17:22:00Z</dcterms:created>
  <dcterms:modified xsi:type="dcterms:W3CDTF">2026-02-17T11:38:27Z</dcterms:modified>
  <cp:category/>
  <cp:contentStatus/>
</cp:coreProperties>
</file>