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66925"/>
  <xr:revisionPtr revIDLastSave="109" documentId="11_9248B46DC1CBB2E3ED7FF6F9903E8C1851038383" xr6:coauthVersionLast="47" xr6:coauthVersionMax="47" xr10:uidLastSave="{087542A0-51D1-4A7D-89B8-B0CF60E2761F}"/>
  <bookViews>
    <workbookView xWindow="240" yWindow="105" windowWidth="14805" windowHeight="801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B26" i="1"/>
  <c r="B25" i="1"/>
  <c r="E6" i="1"/>
  <c r="B24" i="1"/>
  <c r="B23" i="1"/>
  <c r="B22" i="1"/>
  <c r="B21" i="1"/>
  <c r="D2" i="1"/>
  <c r="E5" i="1"/>
  <c r="E4" i="1"/>
  <c r="E3" i="1"/>
  <c r="E2" i="1"/>
  <c r="D7" i="1"/>
  <c r="D6" i="1"/>
  <c r="D5" i="1"/>
  <c r="D4" i="1"/>
  <c r="D3" i="1"/>
  <c r="C7" i="1"/>
  <c r="C6" i="1"/>
  <c r="C5" i="1"/>
  <c r="C4" i="1"/>
  <c r="C3" i="1"/>
  <c r="C2" i="1"/>
  <c r="B2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<sst xmlns="http://schemas.openxmlformats.org/spreadsheetml/2006/main" count="27" uniqueCount="13">
  <si>
    <t>n</t>
  </si>
  <si>
    <t>TBucle1</t>
  </si>
  <si>
    <t>TBucle2</t>
  </si>
  <si>
    <t>TBucle3</t>
  </si>
  <si>
    <t>TBucle4</t>
  </si>
  <si>
    <t>FdT</t>
  </si>
  <si>
    <t>Repeticiones</t>
  </si>
  <si>
    <t>bucle1</t>
  </si>
  <si>
    <t>bucle2</t>
  </si>
  <si>
    <t>bucle345</t>
  </si>
  <si>
    <t>TBucle5</t>
  </si>
  <si>
    <t>TBucle6</t>
  </si>
  <si>
    <t>TBucle7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</si>
</sst>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"/>
  <sheetViews>
    <sheetView tabSelected="1" workbookViewId="0">
      <selection activeCell="E8" sqref="E8"/>
    </sheetView>
  </sheetViews>
  <sheetFormatPr defaultRowHeight="15"/>
  <cols>
    <col min="2" max="2" width="13.5703125" customWidth="1"/>
    <col min="3" max="3" width="14.85546875" customWidth="1"/>
    <col min="4" max="4" width="14.7109375" customWidth="1"/>
    <col min="5" max="5" width="15.425781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1">
        <v>100</v>
      </c>
      <c r="B2" s="1">
        <f>442/$C$15</f>
        <v>4.4200000000000003E-3</v>
      </c>
      <c r="C2" s="1">
        <f>213/$C$16</f>
        <v>0.21299999999999999</v>
      </c>
      <c r="D2" s="1">
        <f>90/$C$17</f>
        <v>0.9</v>
      </c>
      <c r="E2" s="1">
        <f>70/$C$17</f>
        <v>0.7</v>
      </c>
    </row>
    <row r="3" spans="1:5">
      <c r="A3" s="1">
        <v>200</v>
      </c>
      <c r="B3" s="1">
        <f>1023/$C$15</f>
        <v>1.023E-2</v>
      </c>
      <c r="C3" s="1">
        <f>611/$C$16</f>
        <v>0.61099999999999999</v>
      </c>
      <c r="D3" s="1">
        <f>400/$C$17</f>
        <v>4</v>
      </c>
      <c r="E3" s="1">
        <f>529/$C$17</f>
        <v>5.29</v>
      </c>
    </row>
    <row r="4" spans="1:5">
      <c r="A4" s="1">
        <v>400</v>
      </c>
      <c r="B4" s="1">
        <f>2062/$C$15</f>
        <v>2.0619999999999999E-2</v>
      </c>
      <c r="C4" s="1">
        <f>2967/$C$16</f>
        <v>2.9670000000000001</v>
      </c>
      <c r="D4" s="1">
        <f>1690/$C$17</f>
        <v>16.899999999999999</v>
      </c>
      <c r="E4" s="1">
        <f>3982/$C$17</f>
        <v>39.82</v>
      </c>
    </row>
    <row r="5" spans="1:5">
      <c r="A5" s="1">
        <v>800</v>
      </c>
      <c r="B5" s="1">
        <f>4763/$C$15</f>
        <v>4.7629999999999999E-2</v>
      </c>
      <c r="C5" s="1">
        <f>13411/$C$16</f>
        <v>13.411</v>
      </c>
      <c r="D5" s="1">
        <f>7163/$C$17</f>
        <v>71.63</v>
      </c>
      <c r="E5" s="1">
        <f>30660/$C$17</f>
        <v>306.60000000000002</v>
      </c>
    </row>
    <row r="6" spans="1:5">
      <c r="A6" s="1">
        <v>1600</v>
      </c>
      <c r="B6" s="1">
        <f>10203/$C$15</f>
        <v>0.10203</v>
      </c>
      <c r="C6" s="1">
        <f>52905/$C$16</f>
        <v>52.905000000000001</v>
      </c>
      <c r="D6" s="1">
        <f>30840/$C$17</f>
        <v>308.39999999999998</v>
      </c>
      <c r="E6" s="1">
        <f>253596/$C$17</f>
        <v>2535.96</v>
      </c>
    </row>
    <row r="7" spans="1:5">
      <c r="A7" s="1">
        <v>3200</v>
      </c>
      <c r="B7" s="1">
        <f>21315/$C$15</f>
        <v>0.21315000000000001</v>
      </c>
      <c r="C7" s="1">
        <f>242995/$C$16</f>
        <v>242.995</v>
      </c>
      <c r="D7" s="1">
        <f>124287/$C$17</f>
        <v>1242.8699999999999</v>
      </c>
      <c r="E7" s="1">
        <f>2158649/$C$17</f>
        <v>21586.49</v>
      </c>
    </row>
    <row r="8" spans="1:5">
      <c r="A8" s="1">
        <v>6400</v>
      </c>
      <c r="B8" s="1">
        <f>44924/$C$15</f>
        <v>0.44923999999999997</v>
      </c>
      <c r="C8" s="1" t="s">
        <v>5</v>
      </c>
      <c r="D8" s="1" t="s">
        <v>5</v>
      </c>
      <c r="E8" s="1" t="s">
        <v>5</v>
      </c>
    </row>
    <row r="9" spans="1:5">
      <c r="A9" s="1">
        <v>12800</v>
      </c>
      <c r="B9" s="1">
        <f>102227/$C$15</f>
        <v>1.02227</v>
      </c>
      <c r="C9" s="1" t="s">
        <v>5</v>
      </c>
      <c r="D9" s="1" t="s">
        <v>5</v>
      </c>
      <c r="E9" s="1" t="s">
        <v>5</v>
      </c>
    </row>
    <row r="10" spans="1:5">
      <c r="A10" s="1">
        <v>25600</v>
      </c>
      <c r="B10" s="1" t="s">
        <v>5</v>
      </c>
      <c r="C10" s="1" t="s">
        <v>5</v>
      </c>
      <c r="D10" s="1" t="s">
        <v>5</v>
      </c>
      <c r="E10" s="1" t="s">
        <v>5</v>
      </c>
    </row>
    <row r="11" spans="1:5">
      <c r="A11" s="1">
        <v>51200</v>
      </c>
      <c r="B11" s="1" t="s">
        <v>5</v>
      </c>
      <c r="C11" s="1" t="s">
        <v>5</v>
      </c>
      <c r="D11" s="1" t="s">
        <v>5</v>
      </c>
      <c r="E11" s="1" t="s">
        <v>5</v>
      </c>
    </row>
    <row r="12" spans="1:5">
      <c r="A12" s="1"/>
      <c r="B12" s="1"/>
      <c r="C12" s="1"/>
      <c r="D12" s="1"/>
      <c r="E12" s="1"/>
    </row>
    <row r="13" spans="1:5">
      <c r="A13" s="1"/>
      <c r="B13" s="1"/>
      <c r="C13" s="1"/>
      <c r="D13" s="1"/>
      <c r="E13" s="1"/>
    </row>
    <row r="14" spans="1:5">
      <c r="A14" s="1"/>
      <c r="B14" s="1"/>
      <c r="C14" s="1"/>
      <c r="D14" s="1"/>
      <c r="E14" s="1"/>
    </row>
    <row r="15" spans="1:5">
      <c r="A15" s="1"/>
      <c r="B15" s="1" t="s">
        <v>6</v>
      </c>
      <c r="C15" s="1">
        <v>100000</v>
      </c>
      <c r="D15" s="1" t="s">
        <v>7</v>
      </c>
      <c r="E15" s="1"/>
    </row>
    <row r="16" spans="1:5">
      <c r="A16" s="1"/>
      <c r="B16" s="1"/>
      <c r="C16" s="1">
        <v>1000</v>
      </c>
      <c r="D16" s="1" t="s">
        <v>8</v>
      </c>
      <c r="E16" s="1"/>
    </row>
    <row r="17" spans="1:5">
      <c r="A17" s="1"/>
      <c r="B17" s="1"/>
      <c r="C17" s="1">
        <v>100</v>
      </c>
      <c r="D17" s="1" t="s">
        <v>9</v>
      </c>
      <c r="E17" s="1"/>
    </row>
    <row r="18" spans="1:5">
      <c r="A18" s="1"/>
      <c r="B18" s="1"/>
      <c r="C18" s="1"/>
      <c r="D18" s="1"/>
      <c r="E18" s="1"/>
    </row>
    <row r="19" spans="1:5">
      <c r="A19" s="1"/>
      <c r="B19" s="1"/>
      <c r="C19" s="1"/>
      <c r="D19" s="1"/>
      <c r="E19" s="1"/>
    </row>
    <row r="20" spans="1:5">
      <c r="A20" s="1" t="s">
        <v>0</v>
      </c>
      <c r="B20" s="1" t="s">
        <v>10</v>
      </c>
      <c r="C20" s="1" t="s">
        <v>11</v>
      </c>
      <c r="D20" s="1" t="s">
        <v>12</v>
      </c>
      <c r="E20" s="1"/>
    </row>
    <row r="21" spans="1:5">
      <c r="A21" s="1">
        <v>100</v>
      </c>
      <c r="B21" s="1">
        <f>304/$C$17</f>
        <v>3.04</v>
      </c>
      <c r="C21" s="1"/>
      <c r="D21" s="1"/>
      <c r="E21" s="1"/>
    </row>
    <row r="22" spans="1:5">
      <c r="A22" s="1">
        <v>200</v>
      </c>
      <c r="B22" s="1">
        <f>1596/$C$17</f>
        <v>15.96</v>
      </c>
      <c r="C22" s="1"/>
      <c r="D22" s="1"/>
      <c r="E22" s="1"/>
    </row>
    <row r="23" spans="1:5">
      <c r="A23" s="1">
        <v>400</v>
      </c>
      <c r="B23" s="1">
        <f>7675/$C$17</f>
        <v>76.75</v>
      </c>
      <c r="C23" s="1"/>
      <c r="D23" s="1"/>
      <c r="E23" s="1"/>
    </row>
    <row r="24" spans="1:5">
      <c r="A24" s="1">
        <v>800</v>
      </c>
      <c r="B24" s="1">
        <f>38472/$C$17</f>
        <v>384.72</v>
      </c>
      <c r="C24" s="1"/>
      <c r="D24" s="1"/>
      <c r="E24" s="1"/>
    </row>
    <row r="25" spans="1:5">
      <c r="A25" s="1">
        <v>1600</v>
      </c>
      <c r="B25" s="1">
        <f>168906/$C$17</f>
        <v>1689.06</v>
      </c>
      <c r="C25" s="1"/>
      <c r="D25" s="1"/>
      <c r="E25" s="1"/>
    </row>
    <row r="26" spans="1:5">
      <c r="A26" s="1">
        <v>3200</v>
      </c>
      <c r="B26" s="1">
        <f>857789/$C$17</f>
        <v>8577.89</v>
      </c>
      <c r="C26" s="1"/>
      <c r="D26" s="1"/>
      <c r="E26" s="1"/>
    </row>
    <row r="27" spans="1:5">
      <c r="A27" s="1">
        <v>6400</v>
      </c>
      <c r="B27" s="1"/>
      <c r="C27" s="1"/>
      <c r="D27" s="1"/>
      <c r="E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Yaiza Fernández Vega</cp:lastModifiedBy>
  <cp:revision/>
  <dcterms:created xsi:type="dcterms:W3CDTF">2026-02-10T17:22:00Z</dcterms:created>
  <dcterms:modified xsi:type="dcterms:W3CDTF">2026-02-10T18:45:06Z</dcterms:modified>
  <cp:category/>
  <cp:contentStatus/>
</cp:coreProperties>
</file>