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50" documentId="11_9248B46DC1CBB2E3ED7FF6F9903E8C1851038383" xr6:coauthVersionLast="47" xr6:coauthVersionMax="47" xr10:uidLastSave="{EDADBDAE-2650-4BA8-9E22-72562C623D75}"/>
  <bookViews>
    <workbookView xWindow="240" yWindow="105" windowWidth="14805" windowHeight="8010" activeTab="2" xr2:uid="{00000000-000D-0000-FFFF-FFFF00000000}"/>
  </bookViews>
  <sheets>
    <sheet name="Burbuja" sheetId="1" r:id="rId1"/>
    <sheet name="Seleccion" sheetId="2" r:id="rId2"/>
    <sheet name="Insercion" sheetId="3" r:id="rId3"/>
    <sheet name="Rapido" sheetId="4" r:id="rId4"/>
    <sheet name="Rapido vs Inserc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B3" i="3"/>
  <c r="B2" i="3"/>
  <c r="C13" i="5"/>
  <c r="C12" i="5"/>
  <c r="C11" i="5"/>
  <c r="C10" i="5"/>
  <c r="C9" i="5"/>
  <c r="C8" i="5"/>
  <c r="C7" i="5"/>
  <c r="C6" i="5"/>
  <c r="C5" i="5"/>
  <c r="C4" i="5"/>
  <c r="C3" i="5"/>
  <c r="C2" i="5"/>
  <c r="B13" i="5"/>
  <c r="D13" i="5" s="1"/>
  <c r="B12" i="5"/>
  <c r="D12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B5" i="5"/>
  <c r="D5" i="5" s="1"/>
  <c r="B4" i="5"/>
  <c r="D4" i="5" s="1"/>
  <c r="B3" i="5"/>
  <c r="D3" i="5" s="1"/>
  <c r="B2" i="5"/>
  <c r="D2" i="5" s="1"/>
  <c r="D9" i="4"/>
  <c r="D8" i="4"/>
  <c r="D7" i="4"/>
  <c r="D6" i="4"/>
  <c r="D5" i="4"/>
  <c r="D4" i="4"/>
  <c r="D3" i="4"/>
  <c r="D2" i="4"/>
  <c r="C9" i="4"/>
  <c r="C8" i="4"/>
  <c r="C7" i="4"/>
  <c r="C6" i="4"/>
  <c r="C5" i="4"/>
  <c r="C4" i="4"/>
  <c r="C3" i="4"/>
  <c r="C2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<sst xmlns="http://schemas.openxmlformats.org/spreadsheetml/2006/main" count="82" uniqueCount="11">
  <si>
    <t>n</t>
  </si>
  <si>
    <t>t ordenado</t>
  </si>
  <si>
    <t>t inverso</t>
  </si>
  <si>
    <t>t aleatorio</t>
  </si>
  <si>
    <t>FdT</t>
  </si>
  <si>
    <t>Repeticiones:</t>
  </si>
  <si>
    <t>mejor que burbuja</t>
  </si>
  <si>
    <t>mejor que seleccion y burbuja</t>
  </si>
  <si>
    <t>t rapido</t>
  </si>
  <si>
    <t>t insercion</t>
  </si>
  <si>
    <t>t rapido/t insercion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</si>
</sst>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/>
  </sheetViews>
  <sheetFormatPr defaultRowHeight="15"/>
  <cols>
    <col min="1" max="1" width="13.140625" customWidth="1"/>
    <col min="2" max="2" width="14.7109375" customWidth="1"/>
    <col min="3" max="3" width="13.7109375" customWidth="1"/>
    <col min="4" max="4" width="14.140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10000</v>
      </c>
      <c r="B2" s="1">
        <v>313</v>
      </c>
      <c r="C2" s="1">
        <v>1097</v>
      </c>
      <c r="D2" s="1">
        <v>866</v>
      </c>
    </row>
    <row r="3" spans="1:4">
      <c r="A3" s="1">
        <v>20000</v>
      </c>
      <c r="B3" s="1">
        <v>1306</v>
      </c>
      <c r="C3" s="1">
        <v>4355</v>
      </c>
      <c r="D3" s="1">
        <v>3524</v>
      </c>
    </row>
    <row r="4" spans="1:4">
      <c r="A4" s="1">
        <v>40000</v>
      </c>
      <c r="B4" s="1">
        <v>5307</v>
      </c>
      <c r="C4" s="1">
        <v>17243</v>
      </c>
      <c r="D4" s="1">
        <v>13963</v>
      </c>
    </row>
    <row r="5" spans="1:4">
      <c r="A5" s="1">
        <v>80000</v>
      </c>
      <c r="B5" s="1">
        <v>21050</v>
      </c>
      <c r="C5" s="1">
        <v>68788</v>
      </c>
      <c r="D5" s="1">
        <v>55781</v>
      </c>
    </row>
    <row r="6" spans="1:4">
      <c r="A6" s="1">
        <v>160000</v>
      </c>
      <c r="B6" s="1">
        <v>83235</v>
      </c>
      <c r="C6" s="1" t="s">
        <v>4</v>
      </c>
      <c r="D6" s="1">
        <v>225178</v>
      </c>
    </row>
    <row r="7" spans="1:4">
      <c r="A7" s="1">
        <v>320000</v>
      </c>
      <c r="B7" s="1" t="s">
        <v>4</v>
      </c>
      <c r="C7" s="1" t="s">
        <v>4</v>
      </c>
      <c r="D7" s="1" t="s">
        <v>4</v>
      </c>
    </row>
    <row r="8" spans="1:4">
      <c r="A8" s="1">
        <v>640000</v>
      </c>
      <c r="B8" s="1" t="s">
        <v>4</v>
      </c>
      <c r="C8" s="1" t="s">
        <v>4</v>
      </c>
      <c r="D8" s="1" t="s">
        <v>4</v>
      </c>
    </row>
    <row r="9" spans="1:4">
      <c r="A9" s="1">
        <v>1280000</v>
      </c>
      <c r="B9" s="1" t="s">
        <v>4</v>
      </c>
      <c r="C9" s="1" t="s">
        <v>4</v>
      </c>
      <c r="D9" s="1" t="s">
        <v>4</v>
      </c>
    </row>
    <row r="10" spans="1:4">
      <c r="A10" s="1" t="s">
        <v>5</v>
      </c>
      <c r="B10" s="1">
        <v>1</v>
      </c>
      <c r="C10" s="1"/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045A-88DB-4EBF-82E9-EF12DE154C5D}">
  <dimension ref="A1:F10"/>
  <sheetViews>
    <sheetView workbookViewId="0">
      <selection sqref="A1:D10"/>
    </sheetView>
  </sheetViews>
  <sheetFormatPr defaultRowHeight="15"/>
  <cols>
    <col min="1" max="1" width="13.7109375" customWidth="1"/>
    <col min="2" max="3" width="14.85546875" customWidth="1"/>
    <col min="4" max="4" width="15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1">
        <v>10000</v>
      </c>
      <c r="B2" s="1">
        <v>295</v>
      </c>
      <c r="C2" s="1">
        <v>320</v>
      </c>
      <c r="D2" s="1">
        <v>309</v>
      </c>
    </row>
    <row r="3" spans="1:6">
      <c r="A3" s="1">
        <v>20000</v>
      </c>
      <c r="B3" s="1">
        <v>1246</v>
      </c>
      <c r="C3" s="1">
        <v>1234</v>
      </c>
      <c r="D3" s="1">
        <v>1273</v>
      </c>
      <c r="F3" t="s">
        <v>6</v>
      </c>
    </row>
    <row r="4" spans="1:6">
      <c r="A4" s="1">
        <v>40000</v>
      </c>
      <c r="B4" s="1">
        <v>4910</v>
      </c>
      <c r="C4" s="1">
        <v>4835</v>
      </c>
      <c r="D4" s="1">
        <v>4957</v>
      </c>
    </row>
    <row r="5" spans="1:6">
      <c r="A5" s="1">
        <v>80000</v>
      </c>
      <c r="B5" s="1">
        <v>19514</v>
      </c>
      <c r="C5" s="1">
        <v>19055</v>
      </c>
      <c r="D5" s="1">
        <v>19646</v>
      </c>
    </row>
    <row r="6" spans="1:6">
      <c r="A6" s="1">
        <v>160000</v>
      </c>
      <c r="B6" s="1">
        <v>77887</v>
      </c>
      <c r="C6" s="1">
        <v>76320</v>
      </c>
      <c r="D6" s="1">
        <v>79377</v>
      </c>
    </row>
    <row r="7" spans="1:6">
      <c r="A7" s="1">
        <v>320000</v>
      </c>
      <c r="B7" s="1" t="s">
        <v>4</v>
      </c>
      <c r="C7" s="1" t="s">
        <v>4</v>
      </c>
      <c r="D7" s="1" t="s">
        <v>4</v>
      </c>
    </row>
    <row r="8" spans="1:6">
      <c r="A8" s="1">
        <v>640000</v>
      </c>
      <c r="B8" s="1" t="s">
        <v>4</v>
      </c>
      <c r="C8" s="1" t="s">
        <v>4</v>
      </c>
      <c r="D8" s="1" t="s">
        <v>4</v>
      </c>
    </row>
    <row r="9" spans="1:6">
      <c r="A9" s="1">
        <v>1280000</v>
      </c>
      <c r="B9" s="1" t="s">
        <v>4</v>
      </c>
      <c r="C9" s="1" t="s">
        <v>4</v>
      </c>
      <c r="D9" s="1" t="s">
        <v>4</v>
      </c>
    </row>
    <row r="10" spans="1:6">
      <c r="A10" s="1" t="s">
        <v>5</v>
      </c>
      <c r="B10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642E-513A-4EFE-9E26-7F12877EA2E9}">
  <dimension ref="A1:F27"/>
  <sheetViews>
    <sheetView tabSelected="1" workbookViewId="0">
      <selection activeCell="L28" sqref="L28"/>
    </sheetView>
  </sheetViews>
  <sheetFormatPr defaultRowHeight="15"/>
  <cols>
    <col min="1" max="1" width="14.28515625" customWidth="1"/>
    <col min="2" max="2" width="15.28515625" customWidth="1"/>
    <col min="3" max="3" width="16.5703125" customWidth="1"/>
    <col min="4" max="4" width="16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1">
        <v>10000</v>
      </c>
      <c r="B2" s="1">
        <f>210/1000</f>
        <v>0.21</v>
      </c>
      <c r="C2" s="1">
        <v>735</v>
      </c>
      <c r="D2" s="1">
        <v>376</v>
      </c>
    </row>
    <row r="3" spans="1:6">
      <c r="A3" s="1">
        <v>20000</v>
      </c>
      <c r="B3" s="1">
        <f>408/1000</f>
        <v>0.40799999999999997</v>
      </c>
      <c r="C3" s="1">
        <v>2957</v>
      </c>
      <c r="D3" s="1">
        <v>1478</v>
      </c>
      <c r="F3" t="s">
        <v>7</v>
      </c>
    </row>
    <row r="4" spans="1:6">
      <c r="A4" s="1">
        <v>40000</v>
      </c>
      <c r="B4" s="1">
        <f>783/1000</f>
        <v>0.78300000000000003</v>
      </c>
      <c r="C4" s="1">
        <v>11617</v>
      </c>
      <c r="D4" s="1">
        <v>5773</v>
      </c>
    </row>
    <row r="5" spans="1:6">
      <c r="A5" s="1">
        <v>80000</v>
      </c>
      <c r="B5" s="1">
        <f>1702/1000</f>
        <v>1.702</v>
      </c>
      <c r="C5" s="1">
        <v>46052</v>
      </c>
      <c r="D5" s="1">
        <v>23092</v>
      </c>
    </row>
    <row r="6" spans="1:6">
      <c r="A6" s="1">
        <v>160000</v>
      </c>
      <c r="B6" s="1">
        <f>3379/1000</f>
        <v>3.379</v>
      </c>
      <c r="C6" s="1" t="s">
        <v>4</v>
      </c>
      <c r="D6" s="1">
        <v>93977</v>
      </c>
    </row>
    <row r="7" spans="1:6">
      <c r="A7" s="1">
        <v>320000</v>
      </c>
      <c r="B7" s="1">
        <f>6733/1000</f>
        <v>6.7329999999999997</v>
      </c>
      <c r="C7" s="1" t="s">
        <v>4</v>
      </c>
      <c r="D7" s="1" t="s">
        <v>4</v>
      </c>
    </row>
    <row r="8" spans="1:6">
      <c r="A8" s="1">
        <v>640000</v>
      </c>
      <c r="B8" s="1">
        <f>13255/1000</f>
        <v>13.255000000000001</v>
      </c>
      <c r="C8" s="1" t="s">
        <v>4</v>
      </c>
      <c r="D8" s="1" t="s">
        <v>4</v>
      </c>
    </row>
    <row r="9" spans="1:6">
      <c r="A9" s="1">
        <v>1280000</v>
      </c>
      <c r="B9" s="1">
        <f>26500/1000</f>
        <v>26.5</v>
      </c>
      <c r="C9" s="1" t="s">
        <v>4</v>
      </c>
      <c r="D9" s="1" t="s">
        <v>4</v>
      </c>
    </row>
    <row r="10" spans="1:6">
      <c r="A10" s="1" t="s">
        <v>5</v>
      </c>
      <c r="B10" s="1">
        <v>1000</v>
      </c>
      <c r="C10" s="1">
        <v>1</v>
      </c>
      <c r="D10" s="1">
        <v>1</v>
      </c>
    </row>
    <row r="13" spans="1:6">
      <c r="A13" s="1" t="s">
        <v>5</v>
      </c>
      <c r="B13" s="1">
        <v>1</v>
      </c>
      <c r="C13" s="1">
        <v>1000</v>
      </c>
      <c r="D13" s="1">
        <v>1000</v>
      </c>
    </row>
    <row r="14" spans="1:6">
      <c r="A14" s="1"/>
      <c r="B14" s="1">
        <v>1</v>
      </c>
      <c r="C14" s="1" t="s">
        <v>4</v>
      </c>
      <c r="D14" s="1" t="s">
        <v>4</v>
      </c>
    </row>
    <row r="15" spans="1:6">
      <c r="A15" s="1"/>
      <c r="B15" s="1">
        <v>1</v>
      </c>
      <c r="C15" s="1" t="s">
        <v>4</v>
      </c>
      <c r="D15" s="1" t="s">
        <v>4</v>
      </c>
    </row>
    <row r="16" spans="1:6">
      <c r="A16" s="1"/>
      <c r="B16" s="1">
        <v>1</v>
      </c>
      <c r="C16" s="1" t="s">
        <v>4</v>
      </c>
      <c r="D16" s="1" t="s">
        <v>4</v>
      </c>
    </row>
    <row r="17" spans="1:4">
      <c r="A17" s="1"/>
      <c r="B17" s="1">
        <v>2</v>
      </c>
      <c r="C17" s="1" t="s">
        <v>4</v>
      </c>
      <c r="D17" s="1" t="s">
        <v>4</v>
      </c>
    </row>
    <row r="18" spans="1:4">
      <c r="A18" s="1"/>
      <c r="B18" s="1">
        <v>6</v>
      </c>
      <c r="C18" s="1" t="s">
        <v>4</v>
      </c>
      <c r="D18" s="1" t="s">
        <v>4</v>
      </c>
    </row>
    <row r="19" spans="1:4">
      <c r="A19" s="1"/>
      <c r="B19" s="1">
        <v>6</v>
      </c>
      <c r="C19" s="1" t="s">
        <v>4</v>
      </c>
      <c r="D19" s="1" t="s">
        <v>4</v>
      </c>
    </row>
    <row r="20" spans="1:4">
      <c r="A20" s="1"/>
      <c r="B20" s="1">
        <v>14</v>
      </c>
      <c r="C20" s="1" t="s">
        <v>4</v>
      </c>
      <c r="D20" s="1" t="s">
        <v>4</v>
      </c>
    </row>
    <row r="21" spans="1:4">
      <c r="A21" s="1"/>
      <c r="B21" s="1">
        <v>27</v>
      </c>
      <c r="C21" s="1" t="s">
        <v>4</v>
      </c>
      <c r="D21" s="1" t="s">
        <v>4</v>
      </c>
    </row>
    <row r="22" spans="1:4">
      <c r="A22" s="1"/>
      <c r="B22" s="1">
        <v>52</v>
      </c>
      <c r="C22" s="1" t="s">
        <v>4</v>
      </c>
      <c r="D22" s="1" t="s">
        <v>4</v>
      </c>
    </row>
    <row r="23" spans="1:4">
      <c r="A23" s="1"/>
      <c r="B23" s="1">
        <v>117</v>
      </c>
      <c r="C23" s="1" t="s">
        <v>4</v>
      </c>
      <c r="D23" s="1" t="s">
        <v>4</v>
      </c>
    </row>
    <row r="24" spans="1:4">
      <c r="A24" s="1"/>
      <c r="B24" s="1">
        <v>208</v>
      </c>
      <c r="C24" s="1" t="s">
        <v>4</v>
      </c>
      <c r="D24" s="1" t="s">
        <v>4</v>
      </c>
    </row>
    <row r="25" spans="1:4">
      <c r="A25" s="1"/>
      <c r="B25" s="1">
        <v>445</v>
      </c>
      <c r="C25" s="1" t="s">
        <v>4</v>
      </c>
      <c r="D25" s="1" t="s">
        <v>4</v>
      </c>
    </row>
    <row r="26" spans="1:4">
      <c r="A26" s="1"/>
      <c r="B26" s="1">
        <v>880</v>
      </c>
      <c r="C26" s="1" t="s">
        <v>4</v>
      </c>
      <c r="D26" s="1" t="s">
        <v>4</v>
      </c>
    </row>
    <row r="27" spans="1:4">
      <c r="A27" s="1"/>
      <c r="B27" s="1">
        <v>1690</v>
      </c>
      <c r="C27" s="1" t="s">
        <v>4</v>
      </c>
      <c r="D27" s="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2F69-2FC6-4EE7-B7DA-7966115C2AE2}">
  <dimension ref="A1:D10"/>
  <sheetViews>
    <sheetView workbookViewId="0">
      <selection activeCell="I11" sqref="I11"/>
    </sheetView>
  </sheetViews>
  <sheetFormatPr defaultRowHeight="15"/>
  <cols>
    <col min="1" max="1" width="12.5703125" customWidth="1"/>
    <col min="2" max="2" width="15.140625" customWidth="1"/>
    <col min="3" max="3" width="15.85546875" customWidth="1"/>
    <col min="4" max="4" width="15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10000</v>
      </c>
      <c r="B2" s="1">
        <f>241/B10</f>
        <v>2.41</v>
      </c>
      <c r="C2" s="1">
        <f>301/100</f>
        <v>3.01</v>
      </c>
      <c r="D2" s="1">
        <f>381/100</f>
        <v>3.81</v>
      </c>
    </row>
    <row r="3" spans="1:4">
      <c r="A3" s="1">
        <v>20000</v>
      </c>
      <c r="B3" s="1">
        <f>531/100</f>
        <v>5.31</v>
      </c>
      <c r="C3" s="1">
        <f>611/100</f>
        <v>6.11</v>
      </c>
      <c r="D3" s="1">
        <f>842/100</f>
        <v>8.42</v>
      </c>
    </row>
    <row r="4" spans="1:4">
      <c r="A4" s="1">
        <v>40000</v>
      </c>
      <c r="B4" s="1">
        <f>1159/100</f>
        <v>11.59</v>
      </c>
      <c r="C4" s="1">
        <f>1298/100</f>
        <v>12.98</v>
      </c>
      <c r="D4" s="1">
        <f>1769/100</f>
        <v>17.690000000000001</v>
      </c>
    </row>
    <row r="5" spans="1:4">
      <c r="A5" s="1">
        <v>80000</v>
      </c>
      <c r="B5" s="1">
        <f>2508/100</f>
        <v>25.08</v>
      </c>
      <c r="C5" s="1">
        <f>2760/100</f>
        <v>27.6</v>
      </c>
      <c r="D5" s="1">
        <f>3801/100</f>
        <v>38.01</v>
      </c>
    </row>
    <row r="6" spans="1:4">
      <c r="A6" s="1">
        <v>160000</v>
      </c>
      <c r="B6" s="1">
        <f>5189/100</f>
        <v>51.89</v>
      </c>
      <c r="C6" s="1">
        <f>5792/100</f>
        <v>57.92</v>
      </c>
      <c r="D6" s="1">
        <f>7934/100</f>
        <v>79.34</v>
      </c>
    </row>
    <row r="7" spans="1:4">
      <c r="A7" s="1">
        <v>320000</v>
      </c>
      <c r="B7" s="1">
        <f>10929/100</f>
        <v>109.29</v>
      </c>
      <c r="C7" s="1">
        <f>12099/100</f>
        <v>120.99</v>
      </c>
      <c r="D7" s="1">
        <f>16993/100</f>
        <v>169.93</v>
      </c>
    </row>
    <row r="8" spans="1:4">
      <c r="A8" s="1">
        <v>640000</v>
      </c>
      <c r="B8" s="1">
        <f>22905/100</f>
        <v>229.05</v>
      </c>
      <c r="C8" s="1">
        <f>25284/100</f>
        <v>252.84</v>
      </c>
      <c r="D8" s="1">
        <f>35548/100</f>
        <v>355.48</v>
      </c>
    </row>
    <row r="9" spans="1:4">
      <c r="A9" s="1">
        <v>1280000</v>
      </c>
      <c r="B9" s="1">
        <f>47687/100</f>
        <v>476.87</v>
      </c>
      <c r="C9" s="1">
        <f>52848/100</f>
        <v>528.48</v>
      </c>
      <c r="D9" s="1">
        <f>74703/100</f>
        <v>747.03</v>
      </c>
    </row>
    <row r="10" spans="1:4">
      <c r="A10" s="1" t="s">
        <v>5</v>
      </c>
      <c r="B10" s="1">
        <v>100</v>
      </c>
      <c r="C10" s="1">
        <v>100</v>
      </c>
      <c r="D10" s="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27A0-A819-4552-BCE8-6A1F47537C47}">
  <dimension ref="A1:D14"/>
  <sheetViews>
    <sheetView workbookViewId="0">
      <selection activeCell="F12" sqref="F12"/>
    </sheetView>
  </sheetViews>
  <sheetFormatPr defaultRowHeight="15"/>
  <cols>
    <col min="1" max="1" width="13.42578125" customWidth="1"/>
    <col min="2" max="2" width="14" customWidth="1"/>
    <col min="3" max="3" width="16.85546875" customWidth="1"/>
    <col min="4" max="4" width="19.140625" customWidth="1"/>
  </cols>
  <sheetData>
    <row r="1" spans="1:4">
      <c r="A1" s="1" t="s">
        <v>0</v>
      </c>
      <c r="B1" s="1" t="s">
        <v>8</v>
      </c>
      <c r="C1" s="1" t="s">
        <v>9</v>
      </c>
      <c r="D1" s="1" t="s">
        <v>10</v>
      </c>
    </row>
    <row r="2" spans="1:4">
      <c r="A2" s="1">
        <v>10</v>
      </c>
      <c r="B2" s="2">
        <f>137/B14</f>
        <v>1.3699999999999999E-3</v>
      </c>
      <c r="C2" s="2">
        <f>59/$B$14</f>
        <v>5.9000000000000003E-4</v>
      </c>
      <c r="D2" s="2">
        <f>B2/C2</f>
        <v>2.3220338983050843</v>
      </c>
    </row>
    <row r="3" spans="1:4">
      <c r="A3" s="1">
        <v>15</v>
      </c>
      <c r="B3" s="2">
        <f>219/B14</f>
        <v>2.1900000000000001E-3</v>
      </c>
      <c r="C3" s="2">
        <f>124/$B$14</f>
        <v>1.24E-3</v>
      </c>
      <c r="D3" s="2">
        <f t="shared" ref="D3:D13" si="0">B3/C3</f>
        <v>1.7661290322580645</v>
      </c>
    </row>
    <row r="4" spans="1:4">
      <c r="A4" s="1">
        <v>20</v>
      </c>
      <c r="B4" s="2">
        <f>294/B14</f>
        <v>2.9399999999999999E-3</v>
      </c>
      <c r="C4" s="2">
        <f>201/$B$14</f>
        <v>2.0100000000000001E-3</v>
      </c>
      <c r="D4" s="2">
        <f t="shared" si="0"/>
        <v>1.4626865671641791</v>
      </c>
    </row>
    <row r="5" spans="1:4">
      <c r="A5" s="1">
        <v>25</v>
      </c>
      <c r="B5" s="2">
        <f>410/$B$14</f>
        <v>4.1000000000000003E-3</v>
      </c>
      <c r="C5" s="2">
        <f>311/$B$14</f>
        <v>3.1099999999999999E-3</v>
      </c>
      <c r="D5" s="2">
        <f t="shared" si="0"/>
        <v>1.3183279742765275</v>
      </c>
    </row>
    <row r="6" spans="1:4">
      <c r="A6" s="1">
        <v>30</v>
      </c>
      <c r="B6" s="2">
        <f>479/$B$14</f>
        <v>4.79E-3</v>
      </c>
      <c r="C6" s="2">
        <f>404/$B$14</f>
        <v>4.0400000000000002E-3</v>
      </c>
      <c r="D6" s="2">
        <f t="shared" si="0"/>
        <v>1.1856435643564356</v>
      </c>
    </row>
    <row r="7" spans="1:4">
      <c r="A7" s="1">
        <v>35</v>
      </c>
      <c r="B7" s="2">
        <f>596/$B$14</f>
        <v>5.96E-3</v>
      </c>
      <c r="C7" s="2">
        <f>505/$B$14</f>
        <v>5.0499999999999998E-3</v>
      </c>
      <c r="D7" s="2">
        <f t="shared" si="0"/>
        <v>1.1801980198019804</v>
      </c>
    </row>
    <row r="8" spans="1:4">
      <c r="A8" s="1">
        <v>40</v>
      </c>
      <c r="B8" s="2">
        <f>672/$B$14</f>
        <v>6.7200000000000003E-3</v>
      </c>
      <c r="C8" s="2">
        <f>675/$B$14</f>
        <v>6.7499999999999999E-3</v>
      </c>
      <c r="D8" s="2">
        <f t="shared" si="0"/>
        <v>0.99555555555555564</v>
      </c>
    </row>
    <row r="9" spans="1:4">
      <c r="A9" s="1">
        <v>45</v>
      </c>
      <c r="B9" s="2">
        <f>797/$B$14</f>
        <v>7.9699999999999997E-3</v>
      </c>
      <c r="C9" s="2">
        <f>806/$B$14</f>
        <v>8.0599999999999995E-3</v>
      </c>
      <c r="D9" s="2">
        <f t="shared" si="0"/>
        <v>0.98883374689826309</v>
      </c>
    </row>
    <row r="10" spans="1:4">
      <c r="A10" s="1">
        <v>50</v>
      </c>
      <c r="B10" s="2">
        <f>889/$B$14</f>
        <v>8.8900000000000003E-3</v>
      </c>
      <c r="C10" s="2">
        <f>1050/$B$14</f>
        <v>1.0500000000000001E-2</v>
      </c>
      <c r="D10" s="2">
        <f t="shared" si="0"/>
        <v>0.84666666666666668</v>
      </c>
    </row>
    <row r="11" spans="1:4">
      <c r="A11" s="1">
        <v>55</v>
      </c>
      <c r="B11" s="2">
        <f>1036/$B$14</f>
        <v>1.0359999999999999E-2</v>
      </c>
      <c r="C11" s="2">
        <f>1240/$B$14</f>
        <v>1.24E-2</v>
      </c>
      <c r="D11" s="2">
        <f t="shared" si="0"/>
        <v>0.8354838709677419</v>
      </c>
    </row>
    <row r="12" spans="1:4">
      <c r="A12" s="1">
        <v>60</v>
      </c>
      <c r="B12" s="2">
        <f>1156/$B$14</f>
        <v>1.1560000000000001E-2</v>
      </c>
      <c r="C12" s="2">
        <f>1448/$B$14</f>
        <v>1.448E-2</v>
      </c>
      <c r="D12" s="2">
        <f t="shared" si="0"/>
        <v>0.7983425414364641</v>
      </c>
    </row>
    <row r="13" spans="1:4">
      <c r="A13" s="1">
        <v>65</v>
      </c>
      <c r="B13" s="2">
        <f>1257/$B$14</f>
        <v>1.257E-2</v>
      </c>
      <c r="C13" s="2">
        <f>1651/$B$14</f>
        <v>1.651E-2</v>
      </c>
      <c r="D13" s="2">
        <f t="shared" si="0"/>
        <v>0.76135675348273768</v>
      </c>
    </row>
    <row r="14" spans="1:4">
      <c r="A14" s="1" t="s">
        <v>5</v>
      </c>
      <c r="B14" s="1">
        <v>100000</v>
      </c>
      <c r="C14" s="1"/>
      <c r="D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Yaiza Fernández Vega</cp:lastModifiedBy>
  <cp:revision/>
  <dcterms:created xsi:type="dcterms:W3CDTF">2026-02-17T17:13:01Z</dcterms:created>
  <dcterms:modified xsi:type="dcterms:W3CDTF">2026-02-17T18:39:38Z</dcterms:modified>
  <cp:category/>
  <cp:contentStatus/>
</cp:coreProperties>
</file>