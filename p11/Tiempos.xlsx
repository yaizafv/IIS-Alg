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Users\yaiza\OneDrive - Universidad de Oviedo\Escritorio\Alg\IIS-Alg\p11\"/>
    </mc:Choice>
  </mc:AlternateContent>
  <xr:revisionPtr revIDLastSave="0" documentId="13_ncr:1_{2837816A-74F7-4184-82FC-0F4316C0DD1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Tabl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D30" i="1"/>
  <c r="D29" i="1"/>
  <c r="D28" i="1"/>
  <c r="D27" i="1"/>
  <c r="D26" i="1"/>
  <c r="D25" i="1"/>
  <c r="D24" i="1"/>
  <c r="D23" i="1"/>
  <c r="D22" i="1"/>
  <c r="C31" i="1"/>
  <c r="C30" i="1"/>
  <c r="C29" i="1"/>
  <c r="C28" i="1"/>
  <c r="C27" i="1"/>
  <c r="C26" i="1"/>
  <c r="C25" i="1"/>
  <c r="C24" i="1"/>
  <c r="C23" i="1"/>
  <c r="C22" i="1"/>
  <c r="D12" i="1"/>
  <c r="D13" i="1"/>
  <c r="D11" i="1"/>
  <c r="D10" i="1"/>
  <c r="D9" i="1"/>
  <c r="D8" i="1"/>
  <c r="D7" i="1"/>
  <c r="D6" i="1"/>
  <c r="D5" i="1"/>
  <c r="D4" i="1"/>
  <c r="C13" i="1"/>
  <c r="C12" i="1"/>
  <c r="C11" i="1"/>
  <c r="C10" i="1"/>
  <c r="C9" i="1"/>
  <c r="C8" i="1"/>
  <c r="C7" i="1"/>
  <c r="C6" i="1"/>
  <c r="C5" i="1"/>
  <c r="C4" i="1"/>
</calcChain>
</file>

<file path=xl/sharedStrings.xml><?xml version="1.0" encoding="utf-8"?>
<sst xmlns="http://schemas.openxmlformats.org/spreadsheetml/2006/main" count="30" uniqueCount="14">
  <si>
    <t>Tabla 1 sin optimización</t>
  </si>
  <si>
    <t>Repeticiones = 10000</t>
  </si>
  <si>
    <t>n</t>
  </si>
  <si>
    <t>Tsuma (ms)</t>
  </si>
  <si>
    <t>Tmáximo (ms)</t>
  </si>
  <si>
    <t>Procesador</t>
  </si>
  <si>
    <t>12th Gen Intel(R) Core(TM) i5-12400 (2.50 GHz)</t>
  </si>
  <si>
    <t>Memoria</t>
  </si>
  <si>
    <t>16 GB RAM</t>
  </si>
  <si>
    <t>FdT</t>
  </si>
  <si>
    <t>Tabla 2 con optimización</t>
  </si>
  <si>
    <t>Repeticiones = 100000</t>
  </si>
  <si>
    <t>Tcoincidencias1</t>
  </si>
  <si>
    <t>Tcoincidencias2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</si>
</sst>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3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3" fontId="0" fillId="0" borderId="0" xfId="0" applyNumberFormat="1" applyAlignment="1">
      <alignment horizontal="left"/>
    </xf>
    <xf numFmtId="0" fontId="1" fillId="0" borderId="5" xfId="0" applyFont="1" applyBorder="1" applyAlignment="1">
      <alignment horizontal="left"/>
    </xf>
    <xf numFmtId="3" fontId="1" fillId="0" borderId="1" xfId="0" applyNumberFormat="1" applyFont="1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3" fontId="1" fillId="0" borderId="3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left" wrapText="1"/>
    </xf>
    <xf numFmtId="164" fontId="1" fillId="0" borderId="4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B1:H35"/>
  <sheetViews>
    <sheetView tabSelected="1" workbookViewId="0">
      <selection activeCell="B3" sqref="B3:D5"/>
    </sheetView>
  </sheetViews>
  <sheetFormatPr baseColWidth="10" defaultColWidth="9.140625" defaultRowHeight="15" x14ac:dyDescent="0.25"/>
  <cols>
    <col min="1" max="1" width="11.85546875" bestFit="1" customWidth="1"/>
    <col min="2" max="2" width="12.85546875" style="3" bestFit="1" customWidth="1"/>
    <col min="3" max="4" width="17" style="3" bestFit="1" customWidth="1"/>
    <col min="5" max="6" width="13.5703125" bestFit="1" customWidth="1"/>
    <col min="7" max="7" width="11.28515625" bestFit="1" customWidth="1"/>
    <col min="8" max="8" width="42.85546875" bestFit="1" customWidth="1"/>
  </cols>
  <sheetData>
    <row r="1" spans="2:8" ht="18.75" customHeight="1" x14ac:dyDescent="0.25">
      <c r="B1" s="5" t="s">
        <v>0</v>
      </c>
      <c r="C1" s="6"/>
      <c r="D1" s="7"/>
    </row>
    <row r="2" spans="2:8" ht="18.75" customHeight="1" x14ac:dyDescent="0.25">
      <c r="B2" s="5" t="s">
        <v>1</v>
      </c>
      <c r="C2" s="6"/>
      <c r="D2" s="7"/>
    </row>
    <row r="3" spans="2:8" ht="18.75" customHeight="1" x14ac:dyDescent="0.25">
      <c r="B3" s="1" t="s">
        <v>2</v>
      </c>
      <c r="C3" s="1" t="s">
        <v>3</v>
      </c>
      <c r="D3" s="1" t="s">
        <v>4</v>
      </c>
      <c r="G3" s="2" t="s">
        <v>5</v>
      </c>
      <c r="H3" s="2" t="s">
        <v>6</v>
      </c>
    </row>
    <row r="4" spans="2:8" ht="19.5" customHeight="1" x14ac:dyDescent="0.25">
      <c r="B4" s="1">
        <v>10000</v>
      </c>
      <c r="C4" s="8">
        <f>480/10000</f>
        <v>4.8000000000000001E-2</v>
      </c>
      <c r="D4" s="9">
        <f>758/10000</f>
        <v>7.5800000000000006E-2</v>
      </c>
      <c r="G4" s="2" t="s">
        <v>7</v>
      </c>
      <c r="H4" s="2" t="s">
        <v>8</v>
      </c>
    </row>
    <row r="5" spans="2:8" ht="18.75" customHeight="1" x14ac:dyDescent="0.25">
      <c r="B5" s="1">
        <v>20000</v>
      </c>
      <c r="C5" s="9">
        <f>836/10000</f>
        <v>8.3599999999999994E-2</v>
      </c>
      <c r="D5" s="9">
        <f>1470/10000</f>
        <v>0.14699999999999999</v>
      </c>
    </row>
    <row r="6" spans="2:8" ht="18.75" customHeight="1" x14ac:dyDescent="0.25">
      <c r="B6" s="1">
        <v>40000</v>
      </c>
      <c r="C6" s="9">
        <f>1720/10000</f>
        <v>0.17199999999999999</v>
      </c>
      <c r="D6" s="9">
        <f>2906/10000</f>
        <v>0.29060000000000002</v>
      </c>
    </row>
    <row r="7" spans="2:8" ht="18.75" customHeight="1" x14ac:dyDescent="0.25">
      <c r="B7" s="1">
        <v>80000</v>
      </c>
      <c r="C7" s="9">
        <f>3487/10000</f>
        <v>0.34870000000000001</v>
      </c>
      <c r="D7" s="9">
        <f>5797/10000</f>
        <v>0.57969999999999999</v>
      </c>
    </row>
    <row r="8" spans="2:8" ht="18.75" customHeight="1" x14ac:dyDescent="0.25">
      <c r="B8" s="1">
        <v>160000</v>
      </c>
      <c r="C8" s="9">
        <f>7077/10000</f>
        <v>0.7077</v>
      </c>
      <c r="D8" s="9">
        <f>11673/10000</f>
        <v>1.1673</v>
      </c>
    </row>
    <row r="9" spans="2:8" ht="18.75" customHeight="1" x14ac:dyDescent="0.25">
      <c r="B9" s="1">
        <v>320000</v>
      </c>
      <c r="C9" s="9">
        <f>14069/10000</f>
        <v>1.4069</v>
      </c>
      <c r="D9" s="9">
        <f>22967/10000</f>
        <v>2.2967</v>
      </c>
    </row>
    <row r="10" spans="2:8" ht="18.75" customHeight="1" x14ac:dyDescent="0.25">
      <c r="B10" s="1">
        <v>640000</v>
      </c>
      <c r="C10" s="9">
        <f>27969/10000</f>
        <v>2.7968999999999999</v>
      </c>
      <c r="D10" s="9">
        <f>46291/10000</f>
        <v>4.6291000000000002</v>
      </c>
    </row>
    <row r="11" spans="2:8" ht="18.75" customHeight="1" x14ac:dyDescent="0.25">
      <c r="B11" s="1">
        <v>1280000</v>
      </c>
      <c r="C11" s="9">
        <f>56287/10000</f>
        <v>5.6287000000000003</v>
      </c>
      <c r="D11" s="9">
        <f>92997/10000</f>
        <v>9.2996999999999996</v>
      </c>
    </row>
    <row r="12" spans="2:8" ht="18.75" customHeight="1" x14ac:dyDescent="0.25">
      <c r="B12" s="1">
        <v>2560000</v>
      </c>
      <c r="C12" s="9">
        <f>113493/10000</f>
        <v>11.349299999999999</v>
      </c>
      <c r="D12" s="9">
        <f>186301/10000</f>
        <v>18.630099999999999</v>
      </c>
    </row>
    <row r="13" spans="2:8" ht="18.75" customHeight="1" x14ac:dyDescent="0.25">
      <c r="B13" s="1">
        <v>5120000</v>
      </c>
      <c r="C13" s="9">
        <f>226344/10000</f>
        <v>22.634399999999999</v>
      </c>
      <c r="D13" s="9">
        <f>377844/10000</f>
        <v>37.784399999999998</v>
      </c>
    </row>
    <row r="14" spans="2:8" ht="18.75" customHeight="1" x14ac:dyDescent="0.25">
      <c r="B14" s="1">
        <v>10240000</v>
      </c>
      <c r="C14" s="1" t="s">
        <v>9</v>
      </c>
      <c r="D14" s="1" t="s">
        <v>9</v>
      </c>
    </row>
    <row r="15" spans="2:8" ht="18.75" customHeight="1" x14ac:dyDescent="0.25">
      <c r="B15" s="1">
        <v>20480000</v>
      </c>
      <c r="C15" s="1" t="s">
        <v>9</v>
      </c>
      <c r="D15" s="1" t="s">
        <v>9</v>
      </c>
    </row>
    <row r="16" spans="2:8" ht="18.75" customHeight="1" x14ac:dyDescent="0.25">
      <c r="B16" s="1">
        <v>40960000</v>
      </c>
      <c r="C16" s="1" t="s">
        <v>9</v>
      </c>
      <c r="D16" s="1" t="s">
        <v>9</v>
      </c>
    </row>
    <row r="17" spans="2:7" ht="19.5" customHeight="1" x14ac:dyDescent="0.25">
      <c r="B17" s="1">
        <v>81920000</v>
      </c>
      <c r="C17" s="1" t="s">
        <v>9</v>
      </c>
      <c r="D17" s="1" t="s">
        <v>9</v>
      </c>
    </row>
    <row r="18" spans="2:7" ht="18.75" customHeight="1" x14ac:dyDescent="0.25"/>
    <row r="19" spans="2:7" ht="18.75" customHeight="1" x14ac:dyDescent="0.25">
      <c r="B19" s="5" t="s">
        <v>10</v>
      </c>
      <c r="C19" s="6"/>
      <c r="D19" s="7"/>
    </row>
    <row r="20" spans="2:7" ht="18.75" customHeight="1" x14ac:dyDescent="0.25">
      <c r="B20" s="5" t="s">
        <v>11</v>
      </c>
      <c r="C20" s="6"/>
      <c r="D20" s="7"/>
    </row>
    <row r="21" spans="2:7" ht="18.75" customHeight="1" x14ac:dyDescent="0.25">
      <c r="B21" s="1" t="s">
        <v>2</v>
      </c>
      <c r="C21" s="1" t="s">
        <v>12</v>
      </c>
      <c r="D21" s="1" t="s">
        <v>13</v>
      </c>
      <c r="G21" s="4"/>
    </row>
    <row r="22" spans="2:7" ht="18.75" customHeight="1" x14ac:dyDescent="0.25">
      <c r="B22" s="1">
        <v>10000</v>
      </c>
      <c r="C22" s="8">
        <f>235/10000</f>
        <v>2.35E-2</v>
      </c>
      <c r="D22" s="9">
        <f>159/10000</f>
        <v>1.5900000000000001E-2</v>
      </c>
      <c r="G22" s="4"/>
    </row>
    <row r="23" spans="2:7" ht="18.75" customHeight="1" x14ac:dyDescent="0.25">
      <c r="B23" s="1">
        <v>20000</v>
      </c>
      <c r="C23" s="9">
        <f>461/10000</f>
        <v>4.6100000000000002E-2</v>
      </c>
      <c r="D23" s="9">
        <f>310/10000</f>
        <v>3.1E-2</v>
      </c>
      <c r="G23" s="4"/>
    </row>
    <row r="24" spans="2:7" ht="18.75" customHeight="1" x14ac:dyDescent="0.25">
      <c r="B24" s="1">
        <v>40000</v>
      </c>
      <c r="C24" s="9">
        <f>923/10000</f>
        <v>9.2299999999999993E-2</v>
      </c>
      <c r="D24" s="9">
        <f>632/10000</f>
        <v>6.3200000000000006E-2</v>
      </c>
      <c r="G24" s="4"/>
    </row>
    <row r="25" spans="2:7" ht="18.75" customHeight="1" x14ac:dyDescent="0.25">
      <c r="B25" s="1">
        <v>80000</v>
      </c>
      <c r="C25" s="9">
        <f>1872/10000</f>
        <v>0.18720000000000001</v>
      </c>
      <c r="D25" s="9">
        <f>1290/10000</f>
        <v>0.129</v>
      </c>
      <c r="G25" s="4"/>
    </row>
    <row r="26" spans="2:7" ht="18.75" customHeight="1" x14ac:dyDescent="0.25">
      <c r="B26" s="1">
        <v>160000</v>
      </c>
      <c r="C26" s="9">
        <f>3841/10000</f>
        <v>0.3841</v>
      </c>
      <c r="D26" s="9">
        <f>2558/10000</f>
        <v>0.25580000000000003</v>
      </c>
    </row>
    <row r="27" spans="2:7" ht="18.75" customHeight="1" x14ac:dyDescent="0.25">
      <c r="B27" s="1">
        <v>320000</v>
      </c>
      <c r="C27" s="9">
        <f>7575/10000</f>
        <v>0.75749999999999995</v>
      </c>
      <c r="D27" s="9">
        <f>5151/10000</f>
        <v>0.5151</v>
      </c>
    </row>
    <row r="28" spans="2:7" ht="18.75" customHeight="1" x14ac:dyDescent="0.25">
      <c r="B28" s="1">
        <v>640000</v>
      </c>
      <c r="C28" s="9">
        <f>15182/10000</f>
        <v>1.5182</v>
      </c>
      <c r="D28" s="9">
        <f>10218/10000</f>
        <v>1.0218</v>
      </c>
    </row>
    <row r="29" spans="2:7" ht="18.75" customHeight="1" x14ac:dyDescent="0.25">
      <c r="B29" s="1">
        <v>1280000</v>
      </c>
      <c r="C29" s="9">
        <f>29790/10000</f>
        <v>2.9790000000000001</v>
      </c>
      <c r="D29" s="9">
        <f>20295/10000</f>
        <v>2.0295000000000001</v>
      </c>
    </row>
    <row r="30" spans="2:7" ht="18.75" customHeight="1" x14ac:dyDescent="0.25">
      <c r="B30" s="1">
        <v>2560000</v>
      </c>
      <c r="C30" s="9">
        <f>61553/10000</f>
        <v>6.1553000000000004</v>
      </c>
      <c r="D30" s="9">
        <f>41954/10000</f>
        <v>4.1954000000000002</v>
      </c>
    </row>
    <row r="31" spans="2:7" ht="18.75" customHeight="1" x14ac:dyDescent="0.25">
      <c r="B31" s="1">
        <v>5120000</v>
      </c>
      <c r="C31" s="9">
        <f>132337/10000</f>
        <v>13.233700000000001</v>
      </c>
      <c r="D31" s="9">
        <f>99755/10000</f>
        <v>9.9755000000000003</v>
      </c>
    </row>
    <row r="32" spans="2:7" ht="18.75" customHeight="1" x14ac:dyDescent="0.25">
      <c r="B32" s="1">
        <v>10240000</v>
      </c>
      <c r="C32" s="1" t="s">
        <v>9</v>
      </c>
      <c r="D32" s="1" t="s">
        <v>9</v>
      </c>
    </row>
    <row r="33" spans="2:4" ht="18.75" customHeight="1" x14ac:dyDescent="0.25">
      <c r="B33" s="1">
        <v>20480000</v>
      </c>
      <c r="C33" s="1" t="s">
        <v>9</v>
      </c>
      <c r="D33" s="1" t="s">
        <v>9</v>
      </c>
    </row>
    <row r="34" spans="2:4" ht="18.75" customHeight="1" x14ac:dyDescent="0.25">
      <c r="B34" s="1">
        <v>40960000</v>
      </c>
      <c r="C34" s="1" t="s">
        <v>9</v>
      </c>
      <c r="D34" s="1" t="s">
        <v>9</v>
      </c>
    </row>
    <row r="35" spans="2:4" ht="18.75" customHeight="1" x14ac:dyDescent="0.25">
      <c r="B35" s="1">
        <v>81920000</v>
      </c>
      <c r="C35" s="1" t="s">
        <v>9</v>
      </c>
      <c r="D35" s="1" t="s">
        <v>9</v>
      </c>
    </row>
  </sheetData>
  <mergeCells count="4">
    <mergeCell ref="B1:D1"/>
    <mergeCell ref="B2:D2"/>
    <mergeCell ref="B19:D19"/>
    <mergeCell ref="B20:D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Yaiza Fernández Vega</cp:lastModifiedBy>
  <dcterms:created xsi:type="dcterms:W3CDTF">2026-02-17T10:20:21Z</dcterms:created>
  <dcterms:modified xsi:type="dcterms:W3CDTF">2026-02-17T10:49:03Z</dcterms:modified>
</cp:coreProperties>
</file>