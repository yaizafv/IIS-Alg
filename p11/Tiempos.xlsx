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25" documentId="11_9248B46DC1CBB2E3ED7FF6F9903E8C1851038383" xr6:coauthVersionLast="47" xr6:coauthVersionMax="47" xr10:uidLastSave="{336AE46C-3F0C-4D4F-8707-1FB69C02728D}"/>
  <bookViews>
    <workbookView xWindow="240" yWindow="105" windowWidth="14805" windowHeight="8010" xr2:uid="{00000000-000D-0000-FFFF-FFFF00000000}"/>
  </bookViews>
  <sheets>
    <sheet name="Tabl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5" i="1"/>
  <c r="D4" i="1"/>
  <c r="D11" i="1"/>
  <c r="D10" i="1"/>
  <c r="D6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<sst xmlns="http://schemas.openxmlformats.org/spreadsheetml/2006/main" count="32" uniqueCount="13">
  <si>
    <t>Tabla 1 sin optimización</t>
  </si>
  <si>
    <t>Repeticiones = 10000</t>
  </si>
  <si>
    <t>n</t>
  </si>
  <si>
    <t>Tsuma (ms)</t>
  </si>
  <si>
    <t>Tmáximo (ms)</t>
  </si>
  <si>
    <t>Procesador</t>
  </si>
  <si>
    <t>12th Gen Intel(R) Core(TM) i5-12400 (2.50 GHz)</t>
  </si>
  <si>
    <t>Memoria</t>
  </si>
  <si>
    <t>16 GB RAM</t>
  </si>
  <si>
    <t>FdT</t>
  </si>
  <si>
    <t>Tabla 2 con optimización</t>
  </si>
  <si>
    <t>PythonA1</t>
  </si>
  <si>
    <t>Repeticiones = 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</si>
</sst>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left" wrapText="1"/>
    </xf>
    <xf numFmtId="0" fontId="0" fillId="0" borderId="1" xfId="0" applyNumberFormat="1" applyBorder="1" applyAlignment="1">
      <alignment horizontal="left"/>
    </xf>
    <xf numFmtId="0" fontId="0" fillId="0" borderId="1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5"/>
  <sheetViews>
    <sheetView tabSelected="1" topLeftCell="A6" workbookViewId="0">
      <selection activeCell="H30" sqref="H30"/>
    </sheetView>
  </sheetViews>
  <sheetFormatPr defaultRowHeight="15"/>
  <cols>
    <col min="1" max="1" width="11.85546875" customWidth="1"/>
    <col min="2" max="2" width="12.85546875" customWidth="1"/>
    <col min="3" max="3" width="13.7109375" customWidth="1"/>
    <col min="4" max="4" width="13.28515625" customWidth="1"/>
    <col min="7" max="7" width="11.28515625" customWidth="1"/>
    <col min="8" max="8" width="42.85546875" customWidth="1"/>
  </cols>
  <sheetData>
    <row r="1" spans="2:12">
      <c r="B1" s="6" t="s">
        <v>0</v>
      </c>
      <c r="C1" s="7"/>
      <c r="D1" s="8"/>
    </row>
    <row r="2" spans="2:12">
      <c r="B2" s="6" t="s">
        <v>1</v>
      </c>
      <c r="C2" s="7"/>
      <c r="D2" s="8"/>
    </row>
    <row r="3" spans="2:12">
      <c r="B3" s="2" t="s">
        <v>2</v>
      </c>
      <c r="C3" s="2" t="s">
        <v>3</v>
      </c>
      <c r="D3" s="2" t="s">
        <v>4</v>
      </c>
      <c r="G3" s="10" t="s">
        <v>5</v>
      </c>
      <c r="H3" s="5" t="s">
        <v>6</v>
      </c>
      <c r="I3" s="9"/>
      <c r="J3" s="9"/>
      <c r="K3" s="9"/>
      <c r="L3" s="9"/>
    </row>
    <row r="4" spans="2:12">
      <c r="B4" s="2">
        <v>10000</v>
      </c>
      <c r="C4" s="3">
        <f xml:space="preserve"> 480</f>
        <v>480</v>
      </c>
      <c r="D4" s="4">
        <f>758</f>
        <v>758</v>
      </c>
      <c r="G4" s="10" t="s">
        <v>7</v>
      </c>
      <c r="H4" s="5" t="s">
        <v>8</v>
      </c>
      <c r="I4" s="9"/>
    </row>
    <row r="5" spans="2:12">
      <c r="B5" s="2">
        <v>20000</v>
      </c>
      <c r="C5" s="4">
        <f xml:space="preserve"> 836</f>
        <v>836</v>
      </c>
      <c r="D5" s="4">
        <f>1470</f>
        <v>1470</v>
      </c>
    </row>
    <row r="6" spans="2:12">
      <c r="B6" s="2">
        <v>40000</v>
      </c>
      <c r="C6" s="4">
        <f xml:space="preserve"> 1720</f>
        <v>1720</v>
      </c>
      <c r="D6" s="4">
        <f>2906</f>
        <v>2906</v>
      </c>
    </row>
    <row r="7" spans="2:12">
      <c r="B7" s="2">
        <v>80000</v>
      </c>
      <c r="C7" s="4">
        <f xml:space="preserve"> 3487</f>
        <v>3487</v>
      </c>
      <c r="D7" s="4">
        <f>5797</f>
        <v>5797</v>
      </c>
    </row>
    <row r="8" spans="2:12">
      <c r="B8" s="2">
        <v>160000</v>
      </c>
      <c r="C8" s="4">
        <f xml:space="preserve"> 7077</f>
        <v>7077</v>
      </c>
      <c r="D8" s="4">
        <f>11673</f>
        <v>11673</v>
      </c>
    </row>
    <row r="9" spans="2:12">
      <c r="B9" s="2">
        <v>320000</v>
      </c>
      <c r="C9" s="4">
        <f xml:space="preserve"> 14069</f>
        <v>14069</v>
      </c>
      <c r="D9" s="4">
        <f>22967</f>
        <v>22967</v>
      </c>
    </row>
    <row r="10" spans="2:12">
      <c r="B10" s="2">
        <v>640000</v>
      </c>
      <c r="C10" s="4">
        <f xml:space="preserve"> 27969</f>
        <v>27969</v>
      </c>
      <c r="D10" s="4">
        <f>46291</f>
        <v>46291</v>
      </c>
    </row>
    <row r="11" spans="2:12">
      <c r="B11" s="2">
        <v>1280000</v>
      </c>
      <c r="C11" s="4">
        <f xml:space="preserve"> 56287</f>
        <v>56287</v>
      </c>
      <c r="D11" s="4">
        <f>92997</f>
        <v>92997</v>
      </c>
    </row>
    <row r="12" spans="2:12">
      <c r="B12" s="2">
        <v>2560000</v>
      </c>
      <c r="C12" s="4">
        <f xml:space="preserve"> 113493</f>
        <v>113493</v>
      </c>
      <c r="D12" s="4">
        <v>186301</v>
      </c>
    </row>
    <row r="13" spans="2:12">
      <c r="B13" s="2">
        <v>5120000</v>
      </c>
      <c r="C13" s="4">
        <f xml:space="preserve"> 226344</f>
        <v>226344</v>
      </c>
      <c r="D13" s="4">
        <v>377844</v>
      </c>
    </row>
    <row r="14" spans="2:12">
      <c r="B14" s="2">
        <v>10240000</v>
      </c>
      <c r="C14" s="4" t="s">
        <v>9</v>
      </c>
      <c r="D14" s="4" t="s">
        <v>9</v>
      </c>
    </row>
    <row r="15" spans="2:12">
      <c r="B15" s="2">
        <v>20480000</v>
      </c>
      <c r="C15" s="4" t="s">
        <v>9</v>
      </c>
      <c r="D15" s="4" t="s">
        <v>9</v>
      </c>
    </row>
    <row r="16" spans="2:12">
      <c r="B16" s="2">
        <v>40960000</v>
      </c>
      <c r="C16" s="4" t="s">
        <v>9</v>
      </c>
      <c r="D16" s="4" t="s">
        <v>9</v>
      </c>
    </row>
    <row r="17" spans="2:8">
      <c r="B17" s="2">
        <v>81920000</v>
      </c>
      <c r="C17" s="4" t="s">
        <v>9</v>
      </c>
      <c r="D17" s="4" t="s">
        <v>9</v>
      </c>
    </row>
    <row r="19" spans="2:8">
      <c r="B19" s="6" t="s">
        <v>10</v>
      </c>
      <c r="C19" s="7"/>
      <c r="D19" s="8"/>
      <c r="G19" t="s">
        <v>11</v>
      </c>
    </row>
    <row r="20" spans="2:8">
      <c r="B20" s="6" t="s">
        <v>12</v>
      </c>
      <c r="C20" s="7"/>
      <c r="D20" s="8"/>
      <c r="G20" t="s">
        <v>2</v>
      </c>
    </row>
    <row r="21" spans="2:8">
      <c r="B21" s="2" t="s">
        <v>2</v>
      </c>
      <c r="C21" s="2" t="s">
        <v>3</v>
      </c>
      <c r="D21" s="2" t="s">
        <v>4</v>
      </c>
      <c r="G21" s="1">
        <v>5000</v>
      </c>
      <c r="H21">
        <v>334</v>
      </c>
    </row>
    <row r="22" spans="2:8">
      <c r="B22" s="2">
        <v>10000</v>
      </c>
      <c r="C22" s="3">
        <v>235</v>
      </c>
      <c r="D22" s="4">
        <v>159</v>
      </c>
      <c r="G22" s="1">
        <v>10000</v>
      </c>
      <c r="H22">
        <v>1427</v>
      </c>
    </row>
    <row r="23" spans="2:8">
      <c r="B23" s="2">
        <v>20000</v>
      </c>
      <c r="C23" s="4">
        <v>461</v>
      </c>
      <c r="D23" s="4">
        <v>310</v>
      </c>
      <c r="G23" s="1">
        <v>20000</v>
      </c>
      <c r="H23">
        <v>5749</v>
      </c>
    </row>
    <row r="24" spans="2:8">
      <c r="B24" s="2">
        <v>40000</v>
      </c>
      <c r="C24" s="4">
        <v>923</v>
      </c>
      <c r="D24" s="4">
        <v>632</v>
      </c>
      <c r="G24" s="1">
        <v>40000</v>
      </c>
      <c r="H24">
        <v>23485</v>
      </c>
    </row>
    <row r="25" spans="2:8">
      <c r="B25" s="2">
        <v>80000</v>
      </c>
      <c r="C25" s="4">
        <v>1872</v>
      </c>
      <c r="D25" s="4">
        <v>1290</v>
      </c>
      <c r="G25" s="1">
        <v>80000</v>
      </c>
      <c r="H25">
        <v>93311</v>
      </c>
    </row>
    <row r="26" spans="2:8">
      <c r="B26" s="2">
        <v>160000</v>
      </c>
      <c r="C26" s="4">
        <v>3841</v>
      </c>
      <c r="D26" s="4">
        <v>2558</v>
      </c>
    </row>
    <row r="27" spans="2:8">
      <c r="B27" s="2">
        <v>320000</v>
      </c>
      <c r="C27" s="4">
        <v>7575</v>
      </c>
      <c r="D27" s="4">
        <v>5151</v>
      </c>
    </row>
    <row r="28" spans="2:8">
      <c r="B28" s="2">
        <v>640000</v>
      </c>
      <c r="C28" s="4">
        <v>15182</v>
      </c>
      <c r="D28" s="4">
        <v>10218</v>
      </c>
    </row>
    <row r="29" spans="2:8">
      <c r="B29" s="2">
        <v>1280000</v>
      </c>
      <c r="C29" s="4">
        <v>29790</v>
      </c>
      <c r="D29" s="4">
        <v>20295</v>
      </c>
    </row>
    <row r="30" spans="2:8">
      <c r="B30" s="2">
        <v>2560000</v>
      </c>
      <c r="C30" s="4">
        <v>61553</v>
      </c>
      <c r="D30" s="4">
        <v>41954</v>
      </c>
    </row>
    <row r="31" spans="2:8">
      <c r="B31" s="2">
        <v>5120000</v>
      </c>
      <c r="C31" s="4">
        <v>132337</v>
      </c>
      <c r="D31" s="4">
        <v>99755</v>
      </c>
    </row>
    <row r="32" spans="2:8">
      <c r="B32" s="2">
        <v>10240000</v>
      </c>
      <c r="C32" s="4" t="s">
        <v>9</v>
      </c>
      <c r="D32" s="4" t="s">
        <v>9</v>
      </c>
    </row>
    <row r="33" spans="2:4">
      <c r="B33" s="2">
        <v>20480000</v>
      </c>
      <c r="C33" s="4" t="s">
        <v>9</v>
      </c>
      <c r="D33" s="4" t="s">
        <v>9</v>
      </c>
    </row>
    <row r="34" spans="2:4">
      <c r="B34" s="2">
        <v>40960000</v>
      </c>
      <c r="C34" s="4" t="s">
        <v>9</v>
      </c>
      <c r="D34" s="4" t="s">
        <v>9</v>
      </c>
    </row>
    <row r="35" spans="2:4">
      <c r="B35" s="2">
        <v>81920000</v>
      </c>
      <c r="C35" s="4" t="s">
        <v>9</v>
      </c>
      <c r="D35" s="4" t="s">
        <v>9</v>
      </c>
    </row>
  </sheetData>
  <mergeCells count="4">
    <mergeCell ref="B19:D19"/>
    <mergeCell ref="B20:D20"/>
    <mergeCell ref="B1:D1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Yaiza Fernández Vega</cp:lastModifiedBy>
  <cp:revision/>
  <dcterms:created xsi:type="dcterms:W3CDTF">2026-02-03T17:22:52Z</dcterms:created>
  <dcterms:modified xsi:type="dcterms:W3CDTF">2026-02-03T18:44:29Z</dcterms:modified>
  <cp:category/>
  <cp:contentStatus/>
</cp:coreProperties>
</file>